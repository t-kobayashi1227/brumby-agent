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説明" sheetId="1" state="visible" r:id="rId3"/>
    <sheet name="配分" sheetId="2" state="visible" r:id="rId4"/>
    <sheet name="媒体" sheetId="3" state="visible" r:id="rId5"/>
    <sheet name="媒体の利用率" sheetId="4" state="visible" r:id="rId6"/>
    <sheet name="ペルソナの年代" sheetId="5" state="visible" r:id="rId7"/>
    <sheet name="反響の記録" sheetId="6" state="visible" r:id="rId8"/>
    <sheet name="反響の集計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<sst xmlns="http://schemas.openxmlformats.org/spreadsheetml/2006/main" count="171" uniqueCount="129">
  <si>
    <r>
      <rPr>
        <b val="true"/>
        <sz val="11"/>
        <rFont val="WenQuanYi Zen Hei"/>
        <family val="2"/>
      </rPr>
      <t xml:space="preserve">媒体の届きやすさ（叩き台 </t>
    </r>
    <r>
      <rPr>
        <b val="true"/>
        <sz val="11"/>
        <rFont val="Arial"/>
        <family val="0"/>
        <charset val="1"/>
      </rPr>
      <t xml:space="preserve">v0.1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</si>
  <si>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作成：クラウドネイチャー　</t>
    </r>
    <r>
      <rPr>
        <sz val="11"/>
        <rFont val="Arial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月</t>
    </r>
  </si>
  <si>
    <t xml:space="preserve">■ 考え方</t>
  </si>
  <si>
    <r>
      <rPr>
        <sz val="11"/>
        <rFont val="Arial"/>
        <family val="0"/>
        <charset val="1"/>
      </rPr>
      <t xml:space="preserve">1. </t>
    </r>
    <r>
      <rPr>
        <sz val="11"/>
        <rFont val="WenQuanYi Zen Hei"/>
        <family val="2"/>
      </rPr>
      <t xml:space="preserve">媒体の流行は「媒体の利用率」シートの数字で持ちます。ルールには書き込まず、毎年最新の統計に入れ替えます。新しい媒体が流行れば、行を追加するだけです。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</si>
  <si>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WenQuanYi Zen Hei"/>
        <family val="2"/>
      </rPr>
      <t xml:space="preserve">ペルソナごとの届きやすさ＝そのペルソナの年代での利用率 </t>
    </r>
    <r>
      <rPr>
        <sz val="11"/>
        <rFont val="Arial"/>
        <family val="0"/>
        <charset val="1"/>
      </rPr>
      <t xml:space="preserve">×</t>
    </r>
    <r>
      <rPr>
        <sz val="11"/>
        <rFont val="WenQuanYi Zen Hei"/>
        <family val="2"/>
      </rPr>
      <t xml:space="preserve">（その年代での利用率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全年代の利用率）。よく使われていて、しかもそのペルソナに偏っている媒体ほど高くなります。</t>
    </r>
  </si>
  <si>
    <r>
      <rPr>
        <sz val="11"/>
        <rFont val="WenQuanYi Zen Hei"/>
        <family val="2"/>
      </rPr>
      <t xml:space="preserve">   利用率だけで比べると、</t>
    </r>
    <r>
      <rPr>
        <sz val="11"/>
        <rFont val="Arial"/>
        <family val="0"/>
        <charset val="1"/>
      </rPr>
      <t xml:space="preserve">LINE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YouTube</t>
    </r>
    <r>
      <rPr>
        <sz val="11"/>
        <rFont val="WenQuanYi Zen Hei"/>
        <family val="2"/>
      </rPr>
      <t xml:space="preserve">が全ペルソナで上位になり、差が出ないためです。</t>
    </r>
  </si>
  <si>
    <r>
      <rPr>
        <sz val="11"/>
        <rFont val="Arial"/>
        <family val="0"/>
        <charset val="1"/>
      </rPr>
      <t xml:space="preserve">3. BRUMBY</t>
    </r>
    <r>
      <rPr>
        <sz val="11"/>
        <rFont val="WenQuanYi Zen Hei"/>
        <family val="2"/>
      </rPr>
      <t xml:space="preserve">様の広告実績（反響の記録シート）がたまると、問い合わせ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件あたりの費用から「反響係数」が自動で決まり、効く媒体に配分が寄ります。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</si>
  <si>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WenQuanYi Zen Hei"/>
        <family val="2"/>
      </rPr>
      <t xml:space="preserve">配分は、届きやすさの上位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媒体（変更可）で比率をとります。予算の総額は、物件の売れやすさから別途提案します。</t>
    </r>
  </si>
  <si>
    <t xml:space="preserve">■ 今の結果（実績なしの初期値）</t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</si>
  <si>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若い夫婦：</t>
    </r>
    <r>
      <rPr>
        <sz val="11"/>
        <rFont val="Arial"/>
        <family val="0"/>
        <charset val="1"/>
      </rPr>
      <t xml:space="preserve">Instagram 21%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YouTube 21%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LINE 19%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TikTok 14%</t>
    </r>
    <r>
      <rPr>
        <sz val="11"/>
        <rFont val="WenQuanYi Zen Hei"/>
        <family val="2"/>
      </rPr>
      <t xml:space="preserve">・ポータル </t>
    </r>
    <r>
      <rPr>
        <sz val="11"/>
        <rFont val="Arial"/>
        <family val="0"/>
        <charset val="1"/>
      </rPr>
      <t xml:space="preserve">12%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検索 </t>
    </r>
    <r>
      <rPr>
        <sz val="11"/>
        <rFont val="Arial"/>
        <family val="0"/>
        <charset val="1"/>
      </rPr>
      <t xml:space="preserve">12%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位が同点のため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媒体）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</si>
  <si>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小中学生のいる家族：</t>
    </r>
    <r>
      <rPr>
        <sz val="11"/>
        <rFont val="Arial"/>
        <family val="0"/>
        <charset val="1"/>
      </rPr>
      <t xml:space="preserve">YouTube 24%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LINE 24%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Instagram 22%</t>
    </r>
    <r>
      <rPr>
        <sz val="11"/>
        <rFont val="WenQuanYi Zen Hei"/>
        <family val="2"/>
      </rPr>
      <t xml:space="preserve">・ポータル </t>
    </r>
    <r>
      <rPr>
        <sz val="11"/>
        <rFont val="Arial"/>
        <family val="0"/>
        <charset val="1"/>
      </rPr>
      <t xml:space="preserve">15%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検索 </t>
    </r>
    <r>
      <rPr>
        <sz val="11"/>
        <rFont val="Arial"/>
        <family val="0"/>
        <charset val="1"/>
      </rPr>
      <t xml:space="preserve">15%</t>
    </r>
  </si>
  <si>
    <r>
      <rPr>
        <sz val="11"/>
        <rFont val="Arial"/>
        <family val="0"/>
        <charset val="1"/>
      </rPr>
      <t xml:space="preserve">C 50</t>
    </r>
    <r>
      <rPr>
        <sz val="11"/>
        <rFont val="WenQuanYi Zen Hei"/>
        <family val="2"/>
      </rPr>
      <t xml:space="preserve">代の住み替え：</t>
    </r>
    <r>
      <rPr>
        <sz val="11"/>
        <rFont val="Arial"/>
        <family val="0"/>
        <charset val="1"/>
      </rPr>
      <t xml:space="preserve">LINE 26%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YouTube 24%</t>
    </r>
    <r>
      <rPr>
        <sz val="11"/>
        <rFont val="WenQuanYi Zen Hei"/>
        <family val="2"/>
      </rPr>
      <t xml:space="preserve">・ポータル </t>
    </r>
    <r>
      <rPr>
        <sz val="11"/>
        <rFont val="Arial"/>
        <family val="0"/>
        <charset val="1"/>
      </rPr>
      <t xml:space="preserve">18%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検索 </t>
    </r>
    <r>
      <rPr>
        <sz val="11"/>
        <rFont val="Arial"/>
        <family val="0"/>
        <charset val="1"/>
      </rPr>
      <t xml:space="preserve">18%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Instagram 15%</t>
    </r>
  </si>
  <si>
    <r>
      <rPr>
        <sz val="11"/>
        <rFont val="Arial"/>
        <family val="0"/>
        <charset val="1"/>
      </rPr>
      <t xml:space="preserve">D 60</t>
    </r>
    <r>
      <rPr>
        <sz val="11"/>
        <rFont val="WenQuanYi Zen Hei"/>
        <family val="2"/>
      </rPr>
      <t xml:space="preserve">歳以上：新聞折込 </t>
    </r>
    <r>
      <rPr>
        <sz val="11"/>
        <rFont val="Arial"/>
        <family val="0"/>
        <charset val="1"/>
      </rPr>
      <t xml:space="preserve">24%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LINE 24%</t>
    </r>
    <r>
      <rPr>
        <sz val="11"/>
        <rFont val="WenQuanYi Zen Hei"/>
        <family val="2"/>
      </rPr>
      <t xml:space="preserve">・ポータル </t>
    </r>
    <r>
      <rPr>
        <sz val="11"/>
        <rFont val="Arial"/>
        <family val="0"/>
        <charset val="1"/>
      </rPr>
      <t xml:space="preserve">19%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検索 </t>
    </r>
    <r>
      <rPr>
        <sz val="11"/>
        <rFont val="Arial"/>
        <family val="0"/>
        <charset val="1"/>
      </rPr>
      <t xml:space="preserve">19%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YouTube 15%</t>
    </r>
  </si>
  <si>
    <t xml:space="preserve">■ 限界と今後</t>
  </si>
  <si>
    <t xml:space="preserve">・利用率は全国の値です。また「サービスを使っている割合」で、広告を見て家を探す割合ではありません。効き目の差は反響の記録で補います。</t>
  </si>
  <si>
    <r>
      <rPr>
        <sz val="11"/>
        <rFont val="WenQuanYi Zen Hei"/>
        <family val="2"/>
      </rPr>
      <t xml:space="preserve">・ポスティングは統計がなく仮置き（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）です。現地看板・店頭は住宅市場動向調査の「探し方」の割合で、</t>
    </r>
    <r>
      <rPr>
        <sz val="11"/>
        <rFont val="Arial"/>
        <family val="0"/>
        <charset val="1"/>
      </rPr>
      <t xml:space="preserve">SNS</t>
    </r>
    <r>
      <rPr>
        <sz val="11"/>
        <rFont val="WenQuanYi Zen Hei"/>
        <family val="2"/>
      </rPr>
      <t xml:space="preserve">の利用率とは尺度が違います。そのため今は上位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に入りません。</t>
    </r>
    <r>
      <rPr>
        <sz val="11"/>
        <rFont val="Arial"/>
        <family val="0"/>
        <charset val="1"/>
      </rPr>
      <t xml:space="preserve">BRUMBY</t>
    </r>
    <r>
      <rPr>
        <sz val="11"/>
        <rFont val="WenQuanYi Zen Hei"/>
        <family val="2"/>
      </rPr>
      <t xml:space="preserve">様の実績（反響の記録）で効き目が分かれば、反響係数で上がってきます。</t>
    </r>
  </si>
  <si>
    <r>
      <rPr>
        <sz val="11"/>
        <rFont val="WenQuanYi Zen Hei"/>
        <family val="2"/>
      </rPr>
      <t xml:space="preserve">・「形式の例」は</t>
    </r>
    <r>
      <rPr>
        <sz val="11"/>
        <rFont val="Arial"/>
        <family val="0"/>
        <charset val="1"/>
      </rPr>
      <t xml:space="preserve">AI</t>
    </r>
    <r>
      <rPr>
        <sz val="11"/>
        <rFont val="WenQuanYi Zen Hei"/>
        <family val="2"/>
      </rPr>
      <t xml:space="preserve">が広告案（例：</t>
    </r>
    <r>
      <rPr>
        <sz val="11"/>
        <rFont val="Arial"/>
        <family val="0"/>
        <charset val="1"/>
      </rPr>
      <t xml:space="preserve">Instagram</t>
    </r>
    <r>
      <rPr>
        <sz val="11"/>
        <rFont val="WenQuanYi Zen Hei"/>
        <family val="2"/>
      </rPr>
      <t xml:space="preserve">のリール動画の構成）を作るときの材料です。</t>
    </r>
  </si>
  <si>
    <t xml:space="preserve">配分に使う媒体の数（上位）</t>
  </si>
  <si>
    <r>
      <rPr>
        <sz val="11"/>
        <rFont val="WenQuanYi Zen Hei"/>
        <family val="2"/>
      </rPr>
      <t xml:space="preserve">届きやすさ＝ペルソナでの利用率 </t>
    </r>
    <r>
      <rPr>
        <sz val="11"/>
        <rFont val="Arial"/>
        <family val="0"/>
        <charset val="1"/>
      </rPr>
      <t xml:space="preserve">×</t>
    </r>
    <r>
      <rPr>
        <sz val="11"/>
        <rFont val="WenQuanYi Zen Hei"/>
        <family val="2"/>
      </rPr>
      <t xml:space="preserve">（ペルソナでの利用率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全年代の利用率）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反響係数。よく使われていて、しかもそのペルソナに多い媒体ほど高くなります。</t>
    </r>
  </si>
  <si>
    <t xml:space="preserve">媒体</t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</si>
  <si>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届きやすさ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</si>
  <si>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届きやすさ</t>
    </r>
  </si>
  <si>
    <r>
      <rPr>
        <b val="true"/>
        <sz val="11"/>
        <color rgb="FFFFFFFF"/>
        <rFont val="Arial"/>
        <family val="0"/>
        <charset val="1"/>
      </rPr>
      <t xml:space="preserve">C </t>
    </r>
    <r>
      <rPr>
        <b val="true"/>
        <sz val="11"/>
        <color rgb="FFFFFFFF"/>
        <rFont val="WenQuanYi Zen Hei"/>
        <family val="2"/>
      </rPr>
      <t xml:space="preserve">届きやすさ</t>
    </r>
  </si>
  <si>
    <r>
      <rPr>
        <b val="true"/>
        <sz val="11"/>
        <color rgb="FFFFFFFF"/>
        <rFont val="Arial"/>
        <family val="0"/>
        <charset val="1"/>
      </rPr>
      <t xml:space="preserve">D </t>
    </r>
    <r>
      <rPr>
        <b val="true"/>
        <sz val="11"/>
        <color rgb="FFFFFFFF"/>
        <rFont val="WenQuanYi Zen Hei"/>
        <family val="2"/>
      </rPr>
      <t xml:space="preserve">届きやすさ</t>
    </r>
  </si>
  <si>
    <r>
      <rPr>
        <b val="true"/>
        <sz val="11"/>
        <color rgb="FFFFFFFF"/>
        <rFont val="Arial"/>
        <family val="0"/>
        <charset val="1"/>
      </rPr>
      <t xml:space="preserve">E </t>
    </r>
    <r>
      <rPr>
        <b val="true"/>
        <sz val="11"/>
        <color rgb="FFFFFFFF"/>
        <rFont val="WenQuanYi Zen Hei"/>
        <family val="2"/>
      </rPr>
      <t xml:space="preserve">届きやすさ</t>
    </r>
  </si>
  <si>
    <r>
      <rPr>
        <b val="true"/>
        <sz val="11"/>
        <color rgb="FFFFFFFF"/>
        <rFont val="Arial"/>
        <family val="0"/>
        <charset val="1"/>
      </rPr>
      <t xml:space="preserve">F </t>
    </r>
    <r>
      <rPr>
        <b val="true"/>
        <sz val="11"/>
        <color rgb="FFFFFFFF"/>
        <rFont val="WenQuanYi Zen Hei"/>
        <family val="2"/>
      </rPr>
      <t xml:space="preserve">届きやすさ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</si>
  <si>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配分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</si>
  <si>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配分</t>
    </r>
  </si>
  <si>
    <r>
      <rPr>
        <b val="true"/>
        <sz val="11"/>
        <color rgb="FFFFFFFF"/>
        <rFont val="Arial"/>
        <family val="0"/>
        <charset val="1"/>
      </rPr>
      <t xml:space="preserve">C </t>
    </r>
    <r>
      <rPr>
        <b val="true"/>
        <sz val="11"/>
        <color rgb="FFFFFFFF"/>
        <rFont val="WenQuanYi Zen Hei"/>
        <family val="2"/>
      </rPr>
      <t xml:space="preserve">配分</t>
    </r>
  </si>
  <si>
    <r>
      <rPr>
        <b val="true"/>
        <sz val="11"/>
        <color rgb="FFFFFFFF"/>
        <rFont val="Arial"/>
        <family val="0"/>
        <charset val="1"/>
      </rPr>
      <t xml:space="preserve">D </t>
    </r>
    <r>
      <rPr>
        <b val="true"/>
        <sz val="11"/>
        <color rgb="FFFFFFFF"/>
        <rFont val="WenQuanYi Zen Hei"/>
        <family val="2"/>
      </rPr>
      <t xml:space="preserve">配分</t>
    </r>
  </si>
  <si>
    <r>
      <rPr>
        <b val="true"/>
        <sz val="11"/>
        <color rgb="FFFFFFFF"/>
        <rFont val="Arial"/>
        <family val="0"/>
        <charset val="1"/>
      </rPr>
      <t xml:space="preserve">E </t>
    </r>
    <r>
      <rPr>
        <b val="true"/>
        <sz val="11"/>
        <color rgb="FFFFFFFF"/>
        <rFont val="WenQuanYi Zen Hei"/>
        <family val="2"/>
      </rPr>
      <t xml:space="preserve">配分</t>
    </r>
  </si>
  <si>
    <r>
      <rPr>
        <b val="true"/>
        <sz val="11"/>
        <color rgb="FFFFFFFF"/>
        <rFont val="Arial"/>
        <family val="0"/>
        <charset val="1"/>
      </rPr>
      <t xml:space="preserve">F </t>
    </r>
    <r>
      <rPr>
        <b val="true"/>
        <sz val="11"/>
        <color rgb="FFFFFFFF"/>
        <rFont val="WenQuanYi Zen Hei"/>
        <family val="2"/>
      </rPr>
      <t xml:space="preserve">配分</t>
    </r>
  </si>
  <si>
    <t xml:space="preserve">合計</t>
  </si>
  <si>
    <t xml:space="preserve">配分＝上位の媒体の届きやすさの比率。予算（別途、売れやすさから提案）にこの配分を掛けて媒体ごとの金額にします。</t>
  </si>
  <si>
    <t xml:space="preserve">使う統計（年代別）</t>
  </si>
  <si>
    <t xml:space="preserve">一律の届きやすさ</t>
  </si>
  <si>
    <t xml:space="preserve">反響係数（自動）</t>
  </si>
  <si>
    <r>
      <rPr>
        <b val="true"/>
        <sz val="11"/>
        <color rgb="FFFFFFFF"/>
        <rFont val="WenQuanYi Zen Hei"/>
        <family val="2"/>
      </rPr>
      <t xml:space="preserve">使う（〇／</t>
    </r>
    <r>
      <rPr>
        <b val="true"/>
        <sz val="11"/>
        <color rgb="FFFFFFFF"/>
        <rFont val="Arial"/>
        <family val="0"/>
        <charset val="1"/>
      </rPr>
      <t xml:space="preserve">×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</si>
  <si>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形式の例（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が広告案に使う）</t>
    </r>
  </si>
  <si>
    <t xml:space="preserve">届きやすさの出典</t>
  </si>
  <si>
    <r>
      <rPr>
        <sz val="11"/>
        <rFont val="Arial"/>
        <family val="0"/>
        <charset val="1"/>
      </rPr>
      <t xml:space="preserve">Instagram</t>
    </r>
    <r>
      <rPr>
        <sz val="11"/>
        <rFont val="WenQuanYi Zen Hei"/>
        <family val="2"/>
      </rPr>
      <t xml:space="preserve">広告</t>
    </r>
  </si>
  <si>
    <t xml:space="preserve">Instagram</t>
  </si>
  <si>
    <t xml:space="preserve">〇</t>
  </si>
  <si>
    <r>
      <rPr>
        <sz val="11"/>
        <color rgb="FF0000FF"/>
        <rFont val="WenQuanYi Zen Hei"/>
        <family val="2"/>
      </rPr>
      <t xml:space="preserve">リール動画（</t>
    </r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秒で外観→間取り→周辺）、写真の投稿</t>
    </r>
  </si>
  <si>
    <r>
      <rPr>
        <sz val="11"/>
        <rFont val="WenQuanYi Zen Hei"/>
        <family val="2"/>
      </rPr>
      <t xml:space="preserve">総務省 令和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年度 情報通信メディアの利用時間と情報行動に関する調査</t>
    </r>
  </si>
  <si>
    <r>
      <rPr>
        <sz val="11"/>
        <rFont val="Arial"/>
        <family val="0"/>
        <charset val="1"/>
      </rPr>
      <t xml:space="preserve">TikTok</t>
    </r>
    <r>
      <rPr>
        <sz val="11"/>
        <rFont val="WenQuanYi Zen Hei"/>
        <family val="2"/>
      </rPr>
      <t xml:space="preserve">広告</t>
    </r>
  </si>
  <si>
    <t xml:space="preserve">TikTok</t>
  </si>
  <si>
    <t xml:space="preserve">ショート動画（ルームツアー）</t>
  </si>
  <si>
    <t xml:space="preserve">同上</t>
  </si>
  <si>
    <r>
      <rPr>
        <sz val="11"/>
        <rFont val="Arial"/>
        <family val="0"/>
        <charset val="1"/>
      </rPr>
      <t xml:space="preserve">YouTube</t>
    </r>
    <r>
      <rPr>
        <sz val="11"/>
        <rFont val="WenQuanYi Zen Hei"/>
        <family val="2"/>
      </rPr>
      <t xml:space="preserve">広告</t>
    </r>
  </si>
  <si>
    <t xml:space="preserve">YouTube</t>
  </si>
  <si>
    <t xml:space="preserve">ショート動画、ルームツアー動画</t>
  </si>
  <si>
    <r>
      <rPr>
        <sz val="11"/>
        <rFont val="Arial"/>
        <family val="0"/>
        <charset val="1"/>
      </rPr>
      <t xml:space="preserve">LINE</t>
    </r>
    <r>
      <rPr>
        <sz val="11"/>
        <rFont val="WenQuanYi Zen Hei"/>
        <family val="2"/>
      </rPr>
      <t xml:space="preserve">広告</t>
    </r>
  </si>
  <si>
    <t xml:space="preserve">LINE</t>
  </si>
  <si>
    <r>
      <rPr>
        <sz val="11"/>
        <color rgb="FF0000FF"/>
        <rFont val="Arial"/>
        <family val="0"/>
        <charset val="1"/>
      </rPr>
      <t xml:space="preserve">LINE</t>
    </r>
    <r>
      <rPr>
        <sz val="11"/>
        <color rgb="FF0000FF"/>
        <rFont val="WenQuanYi Zen Hei"/>
        <family val="2"/>
      </rPr>
      <t xml:space="preserve">広告の画像・カルーセル、公式アカウントの配信</t>
    </r>
  </si>
  <si>
    <r>
      <rPr>
        <sz val="11"/>
        <rFont val="Arial"/>
        <family val="0"/>
        <charset val="1"/>
      </rPr>
      <t xml:space="preserve">Facebook</t>
    </r>
    <r>
      <rPr>
        <sz val="11"/>
        <rFont val="WenQuanYi Zen Hei"/>
        <family val="2"/>
      </rPr>
      <t xml:space="preserve">広告</t>
    </r>
  </si>
  <si>
    <t xml:space="preserve">Facebook</t>
  </si>
  <si>
    <t xml:space="preserve">画像広告（地域・年代で配信先を指定）</t>
  </si>
  <si>
    <t xml:space="preserve">ポータル掲載</t>
  </si>
  <si>
    <r>
      <rPr>
        <sz val="11"/>
        <color rgb="FF0000FF"/>
        <rFont val="WenQuanYi Zen Hei"/>
        <family val="2"/>
      </rPr>
      <t xml:space="preserve">物件写真</t>
    </r>
    <r>
      <rPr>
        <sz val="11"/>
        <color rgb="FF0000FF"/>
        <rFont val="Arial"/>
        <family val="0"/>
        <charset val="1"/>
      </rPr>
      <t xml:space="preserve">20</t>
    </r>
    <r>
      <rPr>
        <sz val="11"/>
        <color rgb="FF0000FF"/>
        <rFont val="WenQuanYi Zen Hei"/>
        <family val="2"/>
      </rPr>
      <t xml:space="preserve">枚以上、間取り図、周辺施設までの距離</t>
    </r>
  </si>
  <si>
    <r>
      <rPr>
        <sz val="11"/>
        <rFont val="WenQuanYi Zen Hei"/>
        <family val="2"/>
      </rPr>
      <t xml:space="preserve">住宅市場動向調査</t>
    </r>
    <r>
      <rPr>
        <sz val="11"/>
        <rFont val="Arial"/>
        <family val="0"/>
        <charset val="1"/>
      </rPr>
      <t xml:space="preserve">R7</t>
    </r>
    <r>
      <rPr>
        <sz val="11"/>
        <rFont val="WenQuanYi Zen Hei"/>
        <family val="2"/>
      </rPr>
      <t xml:space="preserve">：物件をインターネットで探した 分譲戸建</t>
    </r>
    <r>
      <rPr>
        <sz val="11"/>
        <rFont val="Arial"/>
        <family val="0"/>
        <charset val="1"/>
      </rPr>
      <t xml:space="preserve">68.1%</t>
    </r>
    <r>
      <rPr>
        <sz val="11"/>
        <rFont val="WenQuanYi Zen Hei"/>
        <family val="2"/>
      </rPr>
      <t xml:space="preserve">・中古戸建</t>
    </r>
    <r>
      <rPr>
        <sz val="11"/>
        <rFont val="Arial"/>
        <family val="0"/>
        <charset val="1"/>
      </rPr>
      <t xml:space="preserve">63.2%</t>
    </r>
    <r>
      <rPr>
        <sz val="11"/>
        <rFont val="WenQuanYi Zen Hei"/>
        <family val="2"/>
      </rPr>
      <t xml:space="preserve">の平均</t>
    </r>
  </si>
  <si>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検索広告</t>
    </r>
  </si>
  <si>
    <t xml:space="preserve">「新潟市〇〇区 新築戸建」などの検索に出す広告</t>
  </si>
  <si>
    <t xml:space="preserve">同上（ポータル掲載と同じ値。ネットで探す人の重なりに注意）</t>
  </si>
  <si>
    <t xml:space="preserve">新聞折込</t>
  </si>
  <si>
    <t xml:space="preserve">新聞</t>
  </si>
  <si>
    <t xml:space="preserve">チラシ（間取り・価格・地図・見学会の日時）</t>
  </si>
  <si>
    <t xml:space="preserve">総務省 同調査 新聞閲読の平日の行為者率</t>
  </si>
  <si>
    <t xml:space="preserve">ポスティング</t>
  </si>
  <si>
    <t xml:space="preserve">チラシ（学区・周辺の町に限定）</t>
  </si>
  <si>
    <r>
      <rPr>
        <sz val="11"/>
        <rFont val="WenQuanYi Zen Hei"/>
        <family val="2"/>
      </rPr>
      <t xml:space="preserve">統計なし。仮置き。</t>
    </r>
    <r>
      <rPr>
        <sz val="11"/>
        <rFont val="Arial"/>
        <family val="0"/>
        <charset val="1"/>
      </rPr>
      <t xml:space="preserve">BRUMBY</t>
    </r>
    <r>
      <rPr>
        <sz val="11"/>
        <rFont val="WenQuanYi Zen Hei"/>
        <family val="2"/>
      </rPr>
      <t xml:space="preserve">様の実績で設定</t>
    </r>
  </si>
  <si>
    <t xml:space="preserve">現地看板・見学会</t>
  </si>
  <si>
    <t xml:space="preserve">のぼり・看板、週末の見学会</t>
  </si>
  <si>
    <r>
      <rPr>
        <sz val="11"/>
        <rFont val="WenQuanYi Zen Hei"/>
        <family val="2"/>
      </rPr>
      <t xml:space="preserve">住宅市場動向調査</t>
    </r>
    <r>
      <rPr>
        <sz val="11"/>
        <rFont val="Arial"/>
        <family val="0"/>
        <charset val="1"/>
      </rPr>
      <t xml:space="preserve">R7</t>
    </r>
    <r>
      <rPr>
        <sz val="11"/>
        <rFont val="WenQuanYi Zen Hei"/>
        <family val="2"/>
      </rPr>
      <t xml:space="preserve">：現地を通りがかった 分譲戸建</t>
    </r>
    <r>
      <rPr>
        <sz val="11"/>
        <rFont val="Arial"/>
        <family val="0"/>
        <charset val="1"/>
      </rPr>
      <t xml:space="preserve">12.9%</t>
    </r>
  </si>
  <si>
    <t xml:space="preserve">店頭・紹介</t>
  </si>
  <si>
    <t xml:space="preserve">店頭での紹介、既存顧客・知人からの紹介</t>
  </si>
  <si>
    <r>
      <rPr>
        <sz val="11"/>
        <rFont val="WenQuanYi Zen Hei"/>
        <family val="2"/>
      </rPr>
      <t xml:space="preserve">住宅市場動向調査</t>
    </r>
    <r>
      <rPr>
        <sz val="11"/>
        <rFont val="Arial"/>
        <family val="0"/>
        <charset val="1"/>
      </rPr>
      <t xml:space="preserve">R7</t>
    </r>
    <r>
      <rPr>
        <sz val="11"/>
        <rFont val="WenQuanYi Zen Hei"/>
        <family val="2"/>
      </rPr>
      <t xml:space="preserve">：不動産業者で探した 分譲戸建</t>
    </r>
    <r>
      <rPr>
        <sz val="11"/>
        <rFont val="Arial"/>
        <family val="0"/>
        <charset val="1"/>
      </rPr>
      <t xml:space="preserve">40.6%</t>
    </r>
    <r>
      <rPr>
        <sz val="11"/>
        <rFont val="WenQuanYi Zen Hei"/>
        <family val="2"/>
      </rPr>
      <t xml:space="preserve">・中古戸建</t>
    </r>
    <r>
      <rPr>
        <sz val="11"/>
        <rFont val="Arial"/>
        <family val="0"/>
        <charset val="1"/>
      </rPr>
      <t xml:space="preserve">46.6%</t>
    </r>
    <r>
      <rPr>
        <sz val="11"/>
        <rFont val="WenQuanYi Zen Hei"/>
        <family val="2"/>
      </rPr>
      <t xml:space="preserve">の平均</t>
    </r>
  </si>
  <si>
    <t xml:space="preserve">使う統計がある媒体は、ペルソナの年代構成で利用率を平均して届きやすさを出します。統計がない媒体は「一律の届きやすさ」を全ペルソナに使います。</t>
  </si>
  <si>
    <r>
      <rPr>
        <sz val="11"/>
        <rFont val="WenQuanYi Zen Hei"/>
        <family val="2"/>
      </rPr>
      <t xml:space="preserve">反響係数は「反響の記録」から自動で計算します（記録が少ないうちは</t>
    </r>
    <r>
      <rPr>
        <sz val="11"/>
        <rFont val="Arial"/>
        <family val="0"/>
        <charset val="1"/>
      </rPr>
      <t xml:space="preserve">1.00</t>
    </r>
    <r>
      <rPr>
        <sz val="11"/>
        <rFont val="WenQuanYi Zen Hei"/>
        <family val="2"/>
      </rPr>
      <t xml:space="preserve">）。新しい媒体は空き行に追加してください。</t>
    </r>
  </si>
  <si>
    <t xml:space="preserve">統計の名前</t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</si>
  <si>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WenQuanYi Zen Hei"/>
        <family val="2"/>
      </rPr>
      <t xml:space="preserve">代</t>
    </r>
  </si>
  <si>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WenQuanYi Zen Hei"/>
        <family val="2"/>
      </rPr>
      <t xml:space="preserve">代</t>
    </r>
  </si>
  <si>
    <r>
      <rPr>
        <b val="true"/>
        <sz val="11"/>
        <color rgb="FFFFFFFF"/>
        <rFont val="Arial"/>
        <family val="0"/>
        <charset val="1"/>
      </rPr>
      <t xml:space="preserve">40</t>
    </r>
    <r>
      <rPr>
        <b val="true"/>
        <sz val="11"/>
        <color rgb="FFFFFFFF"/>
        <rFont val="WenQuanYi Zen Hei"/>
        <family val="2"/>
      </rPr>
      <t xml:space="preserve">代</t>
    </r>
  </si>
  <si>
    <r>
      <rPr>
        <b val="true"/>
        <sz val="11"/>
        <color rgb="FFFFFFFF"/>
        <rFont val="Arial"/>
        <family val="0"/>
        <charset val="1"/>
      </rPr>
      <t xml:space="preserve">50</t>
    </r>
    <r>
      <rPr>
        <b val="true"/>
        <sz val="11"/>
        <color rgb="FFFFFFFF"/>
        <rFont val="WenQuanYi Zen Hei"/>
        <family val="2"/>
      </rPr>
      <t xml:space="preserve">代</t>
    </r>
  </si>
  <si>
    <r>
      <rPr>
        <b val="true"/>
        <sz val="11"/>
        <color rgb="FFFFFFFF"/>
        <rFont val="Arial"/>
        <family val="0"/>
        <charset val="1"/>
      </rPr>
      <t xml:space="preserve">60</t>
    </r>
    <r>
      <rPr>
        <b val="true"/>
        <sz val="11"/>
        <color rgb="FFFFFFFF"/>
        <rFont val="WenQuanYi Zen Hei"/>
        <family val="2"/>
      </rPr>
      <t xml:space="preserve">代</t>
    </r>
  </si>
  <si>
    <r>
      <rPr>
        <b val="true"/>
        <sz val="11"/>
        <color rgb="FFFFFFFF"/>
        <rFont val="Arial"/>
        <family val="0"/>
        <charset val="1"/>
      </rPr>
      <t xml:space="preserve">70</t>
    </r>
    <r>
      <rPr>
        <b val="true"/>
        <sz val="11"/>
        <color rgb="FFFFFFFF"/>
        <rFont val="WenQuanYi Zen Hei"/>
        <family val="2"/>
      </rPr>
      <t xml:space="preserve">代</t>
    </r>
  </si>
  <si>
    <t xml:space="preserve">全年代</t>
  </si>
  <si>
    <t xml:space="preserve">指標</t>
  </si>
  <si>
    <t xml:space="preserve">出典</t>
  </si>
  <si>
    <t xml:space="preserve">利用率</t>
  </si>
  <si>
    <r>
      <rPr>
        <sz val="11"/>
        <rFont val="WenQuanYi Zen Hei"/>
        <family val="2"/>
      </rPr>
      <t xml:space="preserve">総務省 情報通信政策研究所「令和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年度 情報通信メディアの利用時間と情報行動に関する調査」（</t>
    </r>
    <r>
      <rPr>
        <sz val="11"/>
        <rFont val="Arial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月公表、調査</t>
    </r>
    <r>
      <rPr>
        <sz val="11"/>
        <rFont val="Arial"/>
        <family val="0"/>
        <charset val="1"/>
      </rPr>
      <t xml:space="preserve">2025</t>
    </r>
    <r>
      <rPr>
        <sz val="11"/>
        <rFont val="WenQuanYi Zen Hei"/>
        <family val="2"/>
      </rPr>
      <t xml:space="preserve">年</t>
    </r>
    <r>
      <rPr>
        <sz val="11"/>
        <rFont val="Arial"/>
        <family val="0"/>
        <charset val="1"/>
      </rPr>
      <t xml:space="preserve">12</t>
    </r>
    <r>
      <rPr>
        <sz val="11"/>
        <rFont val="WenQuanYi Zen Hei"/>
        <family val="2"/>
      </rPr>
      <t xml:space="preserve">月、全国</t>
    </r>
    <r>
      <rPr>
        <sz val="11"/>
        <rFont val="Arial"/>
        <family val="0"/>
        <charset val="1"/>
      </rPr>
      <t xml:space="preserve">13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79</t>
    </r>
    <r>
      <rPr>
        <sz val="11"/>
        <rFont val="WenQuanYi Zen Hei"/>
        <family val="2"/>
      </rPr>
      <t xml:space="preserve">歳</t>
    </r>
    <r>
      <rPr>
        <sz val="11"/>
        <rFont val="Arial"/>
        <family val="0"/>
        <charset val="1"/>
      </rPr>
      <t xml:space="preserve">1,800</t>
    </r>
    <r>
      <rPr>
        <sz val="11"/>
        <rFont val="WenQuanYi Zen Hei"/>
        <family val="2"/>
      </rPr>
      <t xml:space="preserve">人）。</t>
    </r>
    <r>
      <rPr>
        <sz val="11"/>
        <rFont val="Arial"/>
        <family val="0"/>
        <charset val="1"/>
      </rPr>
      <t xml:space="preserve">SNS</t>
    </r>
    <r>
      <rPr>
        <sz val="11"/>
        <rFont val="WenQuanYi Zen Hei"/>
        <family val="2"/>
      </rPr>
      <t xml:space="preserve">は概要 第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章</t>
    </r>
    <r>
      <rPr>
        <sz val="11"/>
        <rFont val="Arial"/>
        <family val="0"/>
        <charset val="1"/>
      </rPr>
      <t xml:space="preserve">5-1</t>
    </r>
    <r>
      <rPr>
        <sz val="11"/>
        <rFont val="WenQuanYi Zen Hei"/>
        <family val="2"/>
      </rPr>
      <t xml:space="preserve">、新聞・テレビは報告書 表</t>
    </r>
    <r>
      <rPr>
        <sz val="11"/>
        <rFont val="Arial"/>
        <family val="0"/>
        <charset val="1"/>
      </rPr>
      <t xml:space="preserve">1-1-1-2</t>
    </r>
  </si>
  <si>
    <t xml:space="preserve">X</t>
  </si>
  <si>
    <t xml:space="preserve">平日の行為者率</t>
  </si>
  <si>
    <t xml:space="preserve">テレビ</t>
  </si>
  <si>
    <r>
      <rPr>
        <sz val="11"/>
        <rFont val="WenQuanYi Zen Hei"/>
        <family val="2"/>
      </rPr>
      <t xml:space="preserve">利用率＝「自分が利用している」と答えた人の割合（</t>
    </r>
    <r>
      <rPr>
        <sz val="11"/>
        <rFont val="Arial"/>
        <family val="0"/>
        <charset val="1"/>
      </rPr>
      <t xml:space="preserve">%</t>
    </r>
    <r>
      <rPr>
        <sz val="11"/>
        <rFont val="WenQuanYi Zen Hei"/>
        <family val="2"/>
      </rPr>
      <t xml:space="preserve">）。新聞・テレビは平日にその行為をした人の割合（行為者率）。全国の値で、新潟の値はありません。毎年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月ごろ公表される最新版に入れ替えてください。</t>
    </r>
  </si>
  <si>
    <t xml:space="preserve">ID</t>
  </si>
  <si>
    <t xml:space="preserve">ターゲット候補</t>
  </si>
  <si>
    <t xml:space="preserve">A</t>
  </si>
  <si>
    <t xml:space="preserve">若い夫婦（子なし〜未就学児）</t>
  </si>
  <si>
    <t xml:space="preserve">B</t>
  </si>
  <si>
    <t xml:space="preserve">小中学生のいる家族</t>
  </si>
  <si>
    <t xml:space="preserve">C</t>
  </si>
  <si>
    <r>
      <rPr>
        <sz val="11"/>
        <rFont val="Arial"/>
        <family val="0"/>
        <charset val="1"/>
      </rPr>
      <t xml:space="preserve">50</t>
    </r>
    <r>
      <rPr>
        <sz val="11"/>
        <rFont val="WenQuanYi Zen Hei"/>
        <family val="2"/>
      </rPr>
      <t xml:space="preserve">代の住み替え</t>
    </r>
  </si>
  <si>
    <t xml:space="preserve">D</t>
  </si>
  <si>
    <r>
      <rPr>
        <sz val="11"/>
        <rFont val="Arial"/>
        <family val="0"/>
        <charset val="1"/>
      </rPr>
      <t xml:space="preserve">60</t>
    </r>
    <r>
      <rPr>
        <sz val="11"/>
        <rFont val="WenQuanYi Zen Hei"/>
        <family val="2"/>
      </rPr>
      <t xml:space="preserve">歳以上</t>
    </r>
  </si>
  <si>
    <t xml:space="preserve">E</t>
  </si>
  <si>
    <t xml:space="preserve">単身</t>
  </si>
  <si>
    <t xml:space="preserve">F</t>
  </si>
  <si>
    <t xml:space="preserve">親と同居する世帯（二世帯）</t>
  </si>
  <si>
    <r>
      <rPr>
        <sz val="11"/>
        <rFont val="WenQuanYi Zen Hei"/>
        <family val="2"/>
      </rPr>
      <t xml:space="preserve">ペルソナの世帯主（広告を見て判断する人）の年代構成。代表年齢（</t>
    </r>
    <r>
      <rPr>
        <sz val="11"/>
        <rFont val="Arial"/>
        <family val="0"/>
        <charset val="1"/>
      </rPr>
      <t xml:space="preserve">A 32</t>
    </r>
    <r>
      <rPr>
        <sz val="11"/>
        <rFont val="WenQuanYi Zen Hei"/>
        <family val="2"/>
      </rPr>
      <t xml:space="preserve">歳・</t>
    </r>
    <r>
      <rPr>
        <sz val="11"/>
        <rFont val="Arial"/>
        <family val="0"/>
        <charset val="1"/>
      </rPr>
      <t xml:space="preserve">B 40</t>
    </r>
    <r>
      <rPr>
        <sz val="11"/>
        <rFont val="WenQuanYi Zen Hei"/>
        <family val="2"/>
      </rPr>
      <t xml:space="preserve">歳・</t>
    </r>
    <r>
      <rPr>
        <sz val="11"/>
        <rFont val="Arial"/>
        <family val="0"/>
        <charset val="1"/>
      </rPr>
      <t xml:space="preserve">C 55</t>
    </r>
    <r>
      <rPr>
        <sz val="11"/>
        <rFont val="WenQuanYi Zen Hei"/>
        <family val="2"/>
      </rPr>
      <t xml:space="preserve">歳・</t>
    </r>
    <r>
      <rPr>
        <sz val="11"/>
        <rFont val="Arial"/>
        <family val="0"/>
        <charset val="1"/>
      </rPr>
      <t xml:space="preserve">D 66</t>
    </r>
    <r>
      <rPr>
        <sz val="11"/>
        <rFont val="WenQuanYi Zen Hei"/>
        <family val="2"/>
      </rPr>
      <t xml:space="preserve">歳・</t>
    </r>
    <r>
      <rPr>
        <sz val="11"/>
        <rFont val="Arial"/>
        <family val="0"/>
        <charset val="1"/>
      </rPr>
      <t xml:space="preserve">E 38</t>
    </r>
    <r>
      <rPr>
        <sz val="11"/>
        <rFont val="WenQuanYi Zen Hei"/>
        <family val="2"/>
      </rPr>
      <t xml:space="preserve">歳・</t>
    </r>
    <r>
      <rPr>
        <sz val="11"/>
        <rFont val="Arial"/>
        <family val="0"/>
        <charset val="1"/>
      </rPr>
      <t xml:space="preserve">F 42</t>
    </r>
    <r>
      <rPr>
        <sz val="11"/>
        <rFont val="WenQuanYi Zen Hei"/>
        <family val="2"/>
      </rPr>
      <t xml:space="preserve">歳）から仮置き。</t>
    </r>
    <r>
      <rPr>
        <sz val="11"/>
        <rFont val="Arial"/>
        <family val="0"/>
        <charset val="1"/>
      </rPr>
      <t xml:space="preserve">F</t>
    </r>
    <r>
      <rPr>
        <sz val="11"/>
        <rFont val="WenQuanYi Zen Hei"/>
        <family val="2"/>
      </rPr>
      <t xml:space="preserve">は親世帯も判断に関わるため幅を持たせています。</t>
    </r>
  </si>
  <si>
    <r>
      <rPr>
        <b val="true"/>
        <sz val="11"/>
        <color rgb="FFFFFFFF"/>
        <rFont val="WenQuanYi Zen Hei"/>
        <family val="2"/>
      </rPr>
      <t xml:space="preserve">物件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</si>
  <si>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掲載開始日</t>
  </si>
  <si>
    <t xml:space="preserve">費用（円）</t>
  </si>
  <si>
    <t xml:space="preserve">問い合わせ数</t>
  </si>
  <si>
    <t xml:space="preserve">見学数</t>
  </si>
  <si>
    <r>
      <rPr>
        <b val="true"/>
        <sz val="11"/>
        <color rgb="FFFFFFFF"/>
        <rFont val="WenQuanYi Zen Hei"/>
        <family val="2"/>
      </rPr>
      <t xml:space="preserve">成約（</t>
    </r>
    <r>
      <rPr>
        <b val="true"/>
        <sz val="11"/>
        <color rgb="FFFFFFFF"/>
        <rFont val="Arial"/>
        <family val="0"/>
        <charset val="1"/>
      </rPr>
      <t xml:space="preserve">1/0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</si>
  <si>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メモ</t>
  </si>
  <si>
    <r>
      <rPr>
        <i val="true"/>
        <sz val="11"/>
        <color rgb="FF808080"/>
        <rFont val="WenQuanYi Zen Hei"/>
        <family val="2"/>
      </rPr>
      <t xml:space="preserve">例）</t>
    </r>
    <r>
      <rPr>
        <i val="true"/>
        <sz val="11"/>
        <color rgb="FF808080"/>
        <rFont val="Arial"/>
        <family val="0"/>
        <charset val="1"/>
      </rPr>
      <t xml:space="preserve">B001</t>
    </r>
  </si>
  <si>
    <r>
      <rPr>
        <i val="true"/>
        <sz val="11"/>
        <color rgb="FF808080"/>
        <rFont val="Arial"/>
        <family val="0"/>
        <charset val="1"/>
      </rPr>
      <t xml:space="preserve">Instagram</t>
    </r>
    <r>
      <rPr>
        <i val="true"/>
        <sz val="11"/>
        <color rgb="FF808080"/>
        <rFont val="WenQuanYi Zen Hei"/>
        <family val="2"/>
      </rPr>
      <t xml:space="preserve">広告</t>
    </r>
  </si>
  <si>
    <t xml:space="preserve">2026-11-01</t>
  </si>
  <si>
    <r>
      <rPr>
        <i val="true"/>
        <sz val="11"/>
        <color rgb="FF808080"/>
        <rFont val="WenQuanYi Zen Hei"/>
        <family val="2"/>
      </rPr>
      <t xml:space="preserve">リール動画。</t>
    </r>
    <r>
      <rPr>
        <i val="true"/>
        <sz val="11"/>
        <color rgb="FF808080"/>
        <rFont val="Arial"/>
        <family val="0"/>
        <charset val="1"/>
      </rPr>
      <t xml:space="preserve">30</t>
    </r>
    <r>
      <rPr>
        <i val="true"/>
        <sz val="11"/>
        <color rgb="FF808080"/>
        <rFont val="WenQuanYi Zen Hei"/>
        <family val="2"/>
      </rPr>
      <t xml:space="preserve">代の問い合わせが多い</t>
    </r>
  </si>
  <si>
    <t xml:space="preserve">費用計（円）</t>
  </si>
  <si>
    <t xml:space="preserve">問い合わせ計</t>
  </si>
  <si>
    <t xml:space="preserve">見学計</t>
  </si>
  <si>
    <t xml:space="preserve">成約計</t>
  </si>
  <si>
    <r>
      <rPr>
        <b val="true"/>
        <sz val="11"/>
        <color rgb="FFFFFFFF"/>
        <rFont val="WenQuanYi Zen Hei"/>
        <family val="2"/>
      </rPr>
      <t xml:space="preserve">問い合わせ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件あたり（円）</t>
    </r>
  </si>
  <si>
    <t xml:space="preserve">反響係数</t>
  </si>
  <si>
    <t xml:space="preserve">係数を使い始める問い合わせ数</t>
  </si>
  <si>
    <r>
      <rPr>
        <sz val="11"/>
        <rFont val="WenQuanYi Zen Hei"/>
        <family val="2"/>
      </rPr>
      <t xml:space="preserve">反響係数＝全媒体の平均の問い合わせ単価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その媒体の問い合わせ単価（</t>
    </r>
    <r>
      <rPr>
        <sz val="11"/>
        <rFont val="Arial"/>
        <family val="0"/>
        <charset val="1"/>
      </rPr>
      <t xml:space="preserve">0.5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2.0</t>
    </r>
    <r>
      <rPr>
        <sz val="11"/>
        <rFont val="WenQuanYi Zen Hei"/>
        <family val="2"/>
      </rPr>
      <t xml:space="preserve">に制限）。安く問い合わせが取れる媒体ほど大きくなり、配分が増えます。問い合わせが少ないうちは</t>
    </r>
    <r>
      <rPr>
        <sz val="11"/>
        <rFont val="Arial"/>
        <family val="0"/>
        <charset val="1"/>
      </rPr>
      <t xml:space="preserve">1.00</t>
    </r>
    <r>
      <rPr>
        <sz val="11"/>
        <rFont val="WenQuanYi Zen Hei"/>
        <family val="2"/>
      </rPr>
      <t xml:space="preserve">のままです。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</si>
</sst>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0.0"/>
    <numFmt numFmtId="168" formatCode="0.00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WenQuanYi Zen Hei"/>
      <family val="2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44546A"/>
        <bgColor rgb="FF333399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2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4.9" hidden="false" customHeight="false" outlineLevel="0" collapsed="false">
      <c r="A12" s="3" t="s">
        <v>9</v>
      </c>
    </row>
    <row r="13" customFormat="false" ht="14.9" hidden="false" customHeight="false" outlineLevel="0" collapsed="false">
      <c r="A13" s="3" t="s">
        <v>10</v>
      </c>
    </row>
    <row r="14" customFormat="false" ht="14.9" hidden="false" customHeight="false" outlineLevel="0" collapsed="false">
      <c r="A14" s="3" t="s">
        <v>11</v>
      </c>
    </row>
    <row r="15" customFormat="false" ht="14.9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A18" s="2" t="s">
        <v>14</v>
      </c>
    </row>
    <row r="19" customFormat="false" ht="14.9" hidden="false" customHeight="false" outlineLevel="0" collapsed="false">
      <c r="A19" s="2" t="s">
        <v>15</v>
      </c>
    </row>
    <row r="20" customFormat="false" ht="14.9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1"/>
    <col collapsed="false" customWidth="true" hidden="false" outlineLevel="0" max="8" min="8" style="0" width="3"/>
    <col collapsed="false" customWidth="true" hidden="false" outlineLevel="0" max="14" min="9" style="0" width="9"/>
  </cols>
  <sheetData>
    <row r="1" customFormat="false" ht="15" hidden="false" customHeight="false" outlineLevel="0" collapsed="false">
      <c r="A1" s="1" t="s">
        <v>17</v>
      </c>
      <c r="C1" s="4" t="n">
        <v>5</v>
      </c>
    </row>
    <row r="2" customFormat="false" ht="15" hidden="false" customHeight="false" outlineLevel="0" collapsed="false">
      <c r="A2" s="2" t="s">
        <v>18</v>
      </c>
    </row>
    <row r="4" customFormat="false" ht="28.35" hidden="false" customHeight="false" outlineLevel="0" collapsed="false">
      <c r="A4" s="5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/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</row>
    <row r="5" customFormat="false" ht="15" hidden="false" customHeight="false" outlineLevel="0" collapsed="false">
      <c r="A5" s="2" t="str">
        <f aca="false">媒体!A2</f>
        <v>Instagram広告</v>
      </c>
      <c r="B5" s="7" t="n">
        <f aca="false">IF(媒体!$E$2&lt;&gt;"〇",0,IF(媒体!$B$2="",媒体!$C$2,SUMPRODUCT(ペルソナの年代!$C$2:$H$2,INDEX(媒体の利用率!$B$2:$G$9,MATCH(媒体!$B$2,媒体の利用率!$A$2:$A$9,0),0))^2/INDEX(媒体の利用率!$H$2:$H$9,MATCH(媒体!$B$2,媒体の利用率!$A$2:$A$9,0)))*媒体!$D$2)</f>
        <v>113.886861313869</v>
      </c>
      <c r="C5" s="7" t="n">
        <f aca="false">IF(媒体!$E$2&lt;&gt;"〇",0,IF(媒体!$B$2="",媒体!$C$2,SUMPRODUCT(ペルソナの年代!$C$3:$H$3,INDEX(媒体の利用率!$B$2:$G$9,MATCH(媒体!$B$2,媒体の利用率!$A$2:$A$9,0),0))^2/INDEX(媒体の利用率!$H$2:$H$9,MATCH(媒体!$B$2,媒体の利用率!$A$2:$A$9,0)))*媒体!$D$2)</f>
        <v>94.2047901459854</v>
      </c>
      <c r="D5" s="7" t="n">
        <f aca="false">IF(媒体!$E$2&lt;&gt;"〇",0,IF(媒体!$B$2="",媒体!$C$2,SUMPRODUCT(ペルソナの年代!$C$4:$H$4,INDEX(媒体の利用率!$B$2:$G$9,MATCH(媒体!$B$2,媒体の利用率!$A$2:$A$9,0),0))^2/INDEX(媒体の利用率!$H$2:$H$9,MATCH(媒体!$B$2,媒体の利用率!$A$2:$A$9,0)))*媒体!$D$2)</f>
        <v>54.0029197080292</v>
      </c>
      <c r="E5" s="7" t="n">
        <f aca="false">IF(媒体!$E$2&lt;&gt;"〇",0,IF(媒体!$B$2="",媒体!$C$2,SUMPRODUCT(ペルソナの年代!$C$5:$H$5,INDEX(媒体の利用率!$B$2:$G$9,MATCH(媒体!$B$2,媒体の利用率!$A$2:$A$9,0),0))^2/INDEX(媒体の利用率!$H$2:$H$9,MATCH(媒体!$B$2,媒体の利用率!$A$2:$A$9,0)))*媒体!$D$2)</f>
        <v>16.4343083941606</v>
      </c>
      <c r="F5" s="7" t="n">
        <f aca="false">IF(媒体!$E$2&lt;&gt;"〇",0,IF(媒体!$B$2="",媒体!$C$2,SUMPRODUCT(ペルソナの年代!$C$6:$H$6,INDEX(媒体の利用率!$B$2:$G$9,MATCH(媒体!$B$2,媒体の利用率!$A$2:$A$9,0),0))^2/INDEX(媒体の利用率!$H$2:$H$9,MATCH(媒体!$B$2,媒体の利用率!$A$2:$A$9,0)))*媒体!$D$2)</f>
        <v>104.156979927007</v>
      </c>
      <c r="G5" s="7" t="n">
        <f aca="false">IF(媒体!$E$2&lt;&gt;"〇",0,IF(媒体!$B$2="",媒体!$C$2,SUMPRODUCT(ペルソナの年代!$C$7:$H$7,INDEX(媒体の利用率!$B$2:$G$9,MATCH(媒体!$B$2,媒体の利用率!$A$2:$A$9,0),0))^2/INDEX(媒体の利用率!$H$2:$H$9,MATCH(媒体!$B$2,媒体の利用率!$A$2:$A$9,0)))*媒体!$D$2)</f>
        <v>79.8266350364964</v>
      </c>
      <c r="I5" s="8" t="n">
        <f aca="false">IF(B5&gt;=LARGE(B$5:B$15,$C$1),B5/SUMPRODUCT((B$5:B$15&gt;=LARGE(B$5:B$15,$C$1))*B$5:B$15),0)</f>
        <v>0.214524177113025</v>
      </c>
      <c r="J5" s="8" t="n">
        <f aca="false">IF(C5&gt;=LARGE(C$5:C$15,$C$1),C5/SUMPRODUCT((C$5:C$15&gt;=LARGE(C$5:C$15,$C$1))*C$5:C$15),0)</f>
        <v>0.217525234940471</v>
      </c>
      <c r="K5" s="8" t="n">
        <f aca="false">IF(D5&gt;=LARGE(D$5:D$15,$C$1),D5/SUMPRODUCT((D$5:D$15&gt;=LARGE(D$5:D$15,$C$1))*D$5:D$15),0)</f>
        <v>0.145082077400784</v>
      </c>
      <c r="L5" s="8" t="n">
        <f aca="false">IF(E5&gt;=LARGE(E$5:E$15,$C$1),E5/SUMPRODUCT((E$5:E$15&gt;=LARGE(E$5:E$15,$C$1))*E$5:E$15),0)</f>
        <v>0</v>
      </c>
      <c r="M5" s="8" t="n">
        <f aca="false">IF(F5&gt;=LARGE(F$5:F$15,$C$1),F5/SUMPRODUCT((F$5:F$15&gt;=LARGE(F$5:F$15,$C$1))*F$5:F$15),0)</f>
        <v>0.203493516082067</v>
      </c>
      <c r="N5" s="8" t="n">
        <f aca="false">IF(G5&gt;=LARGE(G$5:G$15,$C$1),G5/SUMPRODUCT((G$5:G$15&gt;=LARGE(G$5:G$15,$C$1))*G$5:G$15),0)</f>
        <v>0.193785200516437</v>
      </c>
    </row>
    <row r="6" customFormat="false" ht="15" hidden="false" customHeight="false" outlineLevel="0" collapsed="false">
      <c r="A6" s="2" t="str">
        <f aca="false">媒体!A3</f>
        <v>TikTok広告</v>
      </c>
      <c r="B6" s="7" t="n">
        <f aca="false">IF(媒体!$E$3&lt;&gt;"〇",0,IF(媒体!$B$3="",媒体!$C$3,SUMPRODUCT(ペルソナの年代!$C$2:$H$2,INDEX(媒体の利用率!$B$2:$G$9,MATCH(媒体!$B$3,媒体の利用率!$A$2:$A$9,0),0))^2/INDEX(媒体の利用率!$H$2:$H$9,MATCH(媒体!$B$3,媒体の利用率!$A$2:$A$9,0)))*媒体!$D$3)</f>
        <v>72.0440435967302</v>
      </c>
      <c r="C6" s="7" t="n">
        <f aca="false">IF(媒体!$E$3&lt;&gt;"〇",0,IF(媒体!$B$3="",媒体!$C$3,SUMPRODUCT(ペルソナの年代!$C$3:$H$3,INDEX(媒体の利用率!$B$2:$G$9,MATCH(媒体!$B$3,媒体の利用率!$A$2:$A$9,0),0))^2/INDEX(媒体の利用率!$H$2:$H$9,MATCH(媒体!$B$3,媒体の利用率!$A$2:$A$9,0)))*媒体!$D$3)</f>
        <v>51.916144414169</v>
      </c>
      <c r="D6" s="7" t="n">
        <f aca="false">IF(媒体!$E$3&lt;&gt;"〇",0,IF(媒体!$B$3="",媒体!$C$3,SUMPRODUCT(ペルソナの年代!$C$4:$H$4,INDEX(媒体の利用率!$B$2:$G$9,MATCH(媒体!$B$3,媒体の利用率!$A$2:$A$9,0),0))^2/INDEX(媒体の利用率!$H$2:$H$9,MATCH(媒体!$B$3,媒体の利用率!$A$2:$A$9,0)))*媒体!$D$3)</f>
        <v>28.2517711171662</v>
      </c>
      <c r="E6" s="7" t="n">
        <f aca="false">IF(媒体!$E$3&lt;&gt;"〇",0,IF(媒体!$B$3="",媒体!$C$3,SUMPRODUCT(ペルソナの年代!$C$5:$H$5,INDEX(媒体の利用率!$B$2:$G$9,MATCH(媒体!$B$3,媒体の利用率!$A$2:$A$9,0),0))^2/INDEX(媒体の利用率!$H$2:$H$9,MATCH(媒体!$B$3,媒体の利用率!$A$2:$A$9,0)))*媒体!$D$3)</f>
        <v>8.99588283378746</v>
      </c>
      <c r="F6" s="7" t="n">
        <f aca="false">IF(媒体!$E$3&lt;&gt;"〇",0,IF(媒体!$B$3="",媒体!$C$3,SUMPRODUCT(ペルソナの年代!$C$6:$H$6,INDEX(媒体の利用率!$B$2:$G$9,MATCH(媒体!$B$3,媒体の利用率!$A$2:$A$9,0),0))^2/INDEX(媒体の利用率!$H$2:$H$9,MATCH(媒体!$B$3,媒体の利用率!$A$2:$A$9,0)))*媒体!$D$3)</f>
        <v>65.7164059945504</v>
      </c>
      <c r="G6" s="7" t="n">
        <f aca="false">IF(媒体!$E$3&lt;&gt;"〇",0,IF(媒体!$B$3="",媒体!$C$3,SUMPRODUCT(ペルソナの年代!$C$7:$H$7,INDEX(媒体の利用率!$B$2:$G$9,MATCH(媒体!$B$3,媒体の利用率!$A$2:$A$9,0),0))^2/INDEX(媒体の利用率!$H$2:$H$9,MATCH(媒体!$B$3,媒体の利用率!$A$2:$A$9,0)))*媒体!$D$3)</f>
        <v>43.8368419618529</v>
      </c>
      <c r="I6" s="8" t="n">
        <f aca="false">IF(B6&gt;=LARGE(B$5:B$15,$C$1),B6/SUMPRODUCT((B$5:B$15&gt;=LARGE(B$5:B$15,$C$1))*B$5:B$15),0)</f>
        <v>0.135706516012321</v>
      </c>
      <c r="J6" s="8" t="n">
        <f aca="false">IF(C6&gt;=LARGE(C$5:C$15,$C$1),C6/SUMPRODUCT((C$5:C$15&gt;=LARGE(C$5:C$15,$C$1))*C$5:C$15),0)</f>
        <v>0</v>
      </c>
      <c r="K6" s="8" t="n">
        <f aca="false">IF(D6&gt;=LARGE(D$5:D$15,$C$1),D6/SUMPRODUCT((D$5:D$15&gt;=LARGE(D$5:D$15,$C$1))*D$5:D$15),0)</f>
        <v>0</v>
      </c>
      <c r="L6" s="8" t="n">
        <f aca="false">IF(E6&gt;=LARGE(E$5:E$15,$C$1),E6/SUMPRODUCT((E$5:E$15&gt;=LARGE(E$5:E$15,$C$1))*E$5:E$15),0)</f>
        <v>0</v>
      </c>
      <c r="M6" s="8" t="n">
        <f aca="false">IF(F6&gt;=LARGE(F$5:F$15,$C$1),F6/SUMPRODUCT((F$5:F$15&gt;=LARGE(F$5:F$15,$C$1))*F$5:F$15),0)</f>
        <v>0.128391419657898</v>
      </c>
      <c r="N6" s="8" t="n">
        <f aca="false">IF(G6&gt;=LARGE(G$5:G$15,$C$1),G6/SUMPRODUCT((G$5:G$15&gt;=LARGE(G$5:G$15,$C$1))*G$5:G$15),0)</f>
        <v>0</v>
      </c>
    </row>
    <row r="7" customFormat="false" ht="15" hidden="false" customHeight="false" outlineLevel="0" collapsed="false">
      <c r="A7" s="2" t="str">
        <f aca="false">媒体!A4</f>
        <v>YouTube広告</v>
      </c>
      <c r="B7" s="7" t="n">
        <f aca="false">IF(媒体!$E$4&lt;&gt;"〇",0,IF(媒体!$B$4="",媒体!$C$4,SUMPRODUCT(ペルソナの年代!$C$2:$H$2,INDEX(媒体の利用率!$B$2:$G$9,MATCH(媒体!$B$4,媒体の利用率!$A$2:$A$9,0),0))^2/INDEX(媒体の利用率!$H$2:$H$9,MATCH(媒体!$B$4,媒体の利用率!$A$2:$A$9,0)))*媒体!$D$4)</f>
        <v>110.549771779141</v>
      </c>
      <c r="C7" s="7" t="n">
        <f aca="false">IF(媒体!$E$4&lt;&gt;"〇",0,IF(媒体!$B$4="",媒体!$C$4,SUMPRODUCT(ペルソナの年代!$C$3:$H$3,INDEX(媒体の利用率!$B$2:$G$9,MATCH(媒体!$B$4,媒体の利用率!$A$2:$A$9,0),0))^2/INDEX(媒体の利用率!$H$2:$H$9,MATCH(媒体!$B$4,媒体の利用率!$A$2:$A$9,0)))*媒体!$D$4)</f>
        <v>105.666748466258</v>
      </c>
      <c r="D7" s="7" t="n">
        <f aca="false">IF(媒体!$E$4&lt;&gt;"〇",0,IF(媒体!$B$4="",媒体!$C$4,SUMPRODUCT(ペルソナの年代!$C$4:$H$4,INDEX(媒体の利用率!$B$2:$G$9,MATCH(媒体!$B$4,媒体の利用率!$A$2:$A$9,0),0))^2/INDEX(媒体の利用率!$H$2:$H$9,MATCH(媒体!$B$4,媒体の利用率!$A$2:$A$9,0)))*媒体!$D$4)</f>
        <v>88.4418404907976</v>
      </c>
      <c r="E7" s="7" t="n">
        <f aca="false">IF(媒体!$E$4&lt;&gt;"〇",0,IF(媒体!$B$4="",媒体!$C$4,SUMPRODUCT(ペルソナの年代!$C$5:$H$5,INDEX(媒体の利用率!$B$2:$G$9,MATCH(媒体!$B$4,媒体の利用率!$A$2:$A$9,0),0))^2/INDEX(媒体の利用率!$H$2:$H$9,MATCH(媒体!$B$4,媒体の利用率!$A$2:$A$9,0)))*媒体!$D$4)</f>
        <v>52.432354601227</v>
      </c>
      <c r="F7" s="7" t="n">
        <f aca="false">IF(媒体!$E$4&lt;&gt;"〇",0,IF(媒体!$B$4="",媒体!$C$4,SUMPRODUCT(ペルソナの年代!$C$6:$H$6,INDEX(媒体の利用率!$B$2:$G$9,MATCH(媒体!$B$4,媒体の利用率!$A$2:$A$9,0),0))^2/INDEX(媒体の利用率!$H$2:$H$9,MATCH(媒体!$B$4,媒体の利用率!$A$2:$A$9,0)))*媒体!$D$4)</f>
        <v>108.347986503067</v>
      </c>
      <c r="G7" s="7" t="n">
        <f aca="false">IF(媒体!$E$4&lt;&gt;"〇",0,IF(媒体!$B$4="",媒体!$C$4,SUMPRODUCT(ペルソナの年代!$C$7:$H$7,INDEX(媒体の利用率!$B$2:$G$9,MATCH(媒体!$B$4,媒体の利用率!$A$2:$A$9,0),0))^2/INDEX(媒体の利用率!$H$2:$H$9,MATCH(媒体!$B$4,媒体の利用率!$A$2:$A$9,0)))*媒体!$D$4)</f>
        <v>100.072344785276</v>
      </c>
      <c r="I7" s="8" t="n">
        <f aca="false">IF(B7&gt;=LARGE(B$5:B$15,$C$1),B7/SUMPRODUCT((B$5:B$15&gt;=LARGE(B$5:B$15,$C$1))*B$5:B$15),0)</f>
        <v>0.208238233518382</v>
      </c>
      <c r="J7" s="8" t="n">
        <f aca="false">IF(C7&gt;=LARGE(C$5:C$15,$C$1),C7/SUMPRODUCT((C$5:C$15&gt;=LARGE(C$5:C$15,$C$1))*C$5:C$15),0)</f>
        <v>0.243991672290753</v>
      </c>
      <c r="K7" s="8" t="n">
        <f aca="false">IF(D7&gt;=LARGE(D$5:D$15,$C$1),D7/SUMPRODUCT((D$5:D$15&gt;=LARGE(D$5:D$15,$C$1))*D$5:D$15),0)</f>
        <v>0.237604300229084</v>
      </c>
      <c r="L7" s="8" t="n">
        <f aca="false">IF(E7&gt;=LARGE(E$5:E$15,$C$1),E7/SUMPRODUCT((E$5:E$15&gt;=LARGE(E$5:E$15,$C$1))*E$5:E$15),0)</f>
        <v>0.149878817263928</v>
      </c>
      <c r="M7" s="8" t="n">
        <f aca="false">IF(F7&gt;=LARGE(F$5:F$15,$C$1),F7/SUMPRODUCT((F$5:F$15&gt;=LARGE(F$5:F$15,$C$1))*F$5:F$15),0)</f>
        <v>0.211681567086265</v>
      </c>
      <c r="N7" s="8" t="n">
        <f aca="false">IF(G7&gt;=LARGE(G$5:G$15,$C$1),G7/SUMPRODUCT((G$5:G$15&gt;=LARGE(G$5:G$15,$C$1))*G$5:G$15),0)</f>
        <v>0.242933193808039</v>
      </c>
    </row>
    <row r="8" customFormat="false" ht="15" hidden="false" customHeight="false" outlineLevel="0" collapsed="false">
      <c r="A8" s="2" t="str">
        <f aca="false">媒体!A5</f>
        <v>LINE広告</v>
      </c>
      <c r="B8" s="7" t="n">
        <f aca="false">IF(媒体!$E$5&lt;&gt;"〇",0,IF(媒体!$B$5="",媒体!$C$5,SUMPRODUCT(ペルソナの年代!$C$2:$H$2,INDEX(媒体の利用率!$B$2:$G$9,MATCH(媒体!$B$5,媒体の利用率!$A$2:$A$9,0),0))^2/INDEX(媒体の利用率!$H$2:$H$9,MATCH(媒体!$B$5,媒体の利用率!$A$2:$A$9,0)))*媒体!$D$5)</f>
        <v>103.000564047363</v>
      </c>
      <c r="C8" s="7" t="n">
        <f aca="false">IF(媒体!$E$5&lt;&gt;"〇",0,IF(媒体!$B$5="",媒体!$C$5,SUMPRODUCT(ペルソナの年代!$C$3:$H$3,INDEX(媒体の利用率!$B$2:$G$9,MATCH(媒体!$B$5,媒体の利用率!$A$2:$A$9,0),0))^2/INDEX(媒体の利用率!$H$2:$H$9,MATCH(媒体!$B$5,媒体の利用率!$A$2:$A$9,0)))*媒体!$D$5)</f>
        <v>101.803686759957</v>
      </c>
      <c r="D8" s="7" t="n">
        <f aca="false">IF(媒体!$E$5&lt;&gt;"〇",0,IF(媒体!$B$5="",媒体!$C$5,SUMPRODUCT(ペルソナの年代!$C$4:$H$4,INDEX(媒体の利用率!$B$2:$G$9,MATCH(媒体!$B$5,媒体の利用率!$A$2:$A$9,0),0))^2/INDEX(媒体の利用率!$H$2:$H$9,MATCH(媒体!$B$5,媒体の利用率!$A$2:$A$9,0)))*媒体!$D$5)</f>
        <v>98.378471474704</v>
      </c>
      <c r="E8" s="7" t="n">
        <f aca="false">IF(媒体!$E$5&lt;&gt;"〇",0,IF(媒体!$B$5="",媒体!$C$5,SUMPRODUCT(ペルソナの年代!$C$5:$H$5,INDEX(媒体の利用率!$B$2:$G$9,MATCH(媒体!$B$5,媒体の利用率!$A$2:$A$9,0),0))^2/INDEX(媒体の利用率!$H$2:$H$9,MATCH(媒体!$B$5,媒体の利用率!$A$2:$A$9,0)))*媒体!$D$5)</f>
        <v>82.8666049515608</v>
      </c>
      <c r="F8" s="7" t="n">
        <f aca="false">IF(媒体!$E$5&lt;&gt;"〇",0,IF(媒体!$B$5="",媒体!$C$5,SUMPRODUCT(ペルソナの年代!$C$6:$H$6,INDEX(媒体の利用率!$B$2:$G$9,MATCH(媒体!$B$5,媒体の利用率!$A$2:$A$9,0),0))^2/INDEX(媒体の利用率!$H$2:$H$9,MATCH(媒体!$B$5,媒体の利用率!$A$2:$A$9,0)))*媒体!$D$5)</f>
        <v>102.22284714747</v>
      </c>
      <c r="G8" s="7" t="n">
        <f aca="false">IF(媒体!$E$5&lt;&gt;"〇",0,IF(媒体!$B$5="",媒体!$C$5,SUMPRODUCT(ペルソナの年代!$C$7:$H$7,INDEX(媒体の利用率!$B$2:$G$9,MATCH(媒体!$B$5,媒体の利用率!$A$2:$A$9,0),0))^2/INDEX(媒体の利用率!$H$2:$H$9,MATCH(媒体!$B$5,媒体の利用率!$A$2:$A$9,0)))*媒体!$D$5)</f>
        <v>100.634618945102</v>
      </c>
      <c r="I8" s="8" t="n">
        <f aca="false">IF(B8&gt;=LARGE(B$5:B$15,$C$1),B8/SUMPRODUCT((B$5:B$15&gt;=LARGE(B$5:B$15,$C$1))*B$5:B$15),0)</f>
        <v>0.194018089440025</v>
      </c>
      <c r="J8" s="8" t="n">
        <f aca="false">IF(C8&gt;=LARGE(C$5:C$15,$C$1),C8/SUMPRODUCT((C$5:C$15&gt;=LARGE(C$5:C$15,$C$1))*C$5:C$15),0)</f>
        <v>0.235071601411656</v>
      </c>
      <c r="K8" s="8" t="n">
        <f aca="false">IF(D8&gt;=LARGE(D$5:D$15,$C$1),D8/SUMPRODUCT((D$5:D$15&gt;=LARGE(D$5:D$15,$C$1))*D$5:D$15),0)</f>
        <v>0.264299654356313</v>
      </c>
      <c r="L8" s="8" t="n">
        <f aca="false">IF(E8&gt;=LARGE(E$5:E$15,$C$1),E8/SUMPRODUCT((E$5:E$15&gt;=LARGE(E$5:E$15,$C$1))*E$5:E$15),0)</f>
        <v>0.236875662656708</v>
      </c>
      <c r="M8" s="8" t="n">
        <f aca="false">IF(F8&gt;=LARGE(F$5:F$15,$C$1),F8/SUMPRODUCT((F$5:F$15&gt;=LARGE(F$5:F$15,$C$1))*F$5:F$15),0)</f>
        <v>0.199714763278814</v>
      </c>
      <c r="N8" s="8" t="n">
        <f aca="false">IF(G8&gt;=LARGE(G$5:G$15,$C$1),G8/SUMPRODUCT((G$5:G$15&gt;=LARGE(G$5:G$15,$C$1))*G$5:G$15),0)</f>
        <v>0.244298156902842</v>
      </c>
    </row>
    <row r="9" customFormat="false" ht="15" hidden="false" customHeight="false" outlineLevel="0" collapsed="false">
      <c r="A9" s="2" t="str">
        <f aca="false">媒体!A6</f>
        <v>Facebook広告</v>
      </c>
      <c r="B9" s="7" t="n">
        <f aca="false">IF(媒体!$E$6&lt;&gt;"〇",0,IF(媒体!$B$6="",媒体!$C$6,SUMPRODUCT(ペルソナの年代!$C$2:$H$2,INDEX(媒体の利用率!$B$2:$G$9,MATCH(媒体!$B$6,媒体の利用率!$A$2:$A$9,0),0))^2/INDEX(媒体の利用率!$H$2:$H$9,MATCH(媒体!$B$6,媒体の利用率!$A$2:$A$9,0)))*媒体!$D$6)</f>
        <v>37.4533333333333</v>
      </c>
      <c r="C9" s="7" t="n">
        <f aca="false">IF(媒体!$E$6&lt;&gt;"〇",0,IF(媒体!$B$6="",媒体!$C$6,SUMPRODUCT(ペルソナの年代!$C$3:$H$3,INDEX(媒体の利用率!$B$2:$G$9,MATCH(媒体!$B$6,媒体の利用率!$A$2:$A$9,0),0))^2/INDEX(媒体の利用率!$H$2:$H$9,MATCH(媒体!$B$6,媒体の利用率!$A$2:$A$9,0)))*媒体!$D$6)</f>
        <v>53.904537037037</v>
      </c>
      <c r="D9" s="7" t="n">
        <f aca="false">IF(媒体!$E$6&lt;&gt;"〇",0,IF(媒体!$B$6="",媒体!$C$6,SUMPRODUCT(ペルソナの年代!$C$4:$H$4,INDEX(媒体の利用率!$B$2:$G$9,MATCH(媒体!$B$6,媒体の利用率!$A$2:$A$9,0),0))^2/INDEX(媒体の利用率!$H$2:$H$9,MATCH(媒体!$B$6,媒体の利用率!$A$2:$A$9,0)))*媒体!$D$6)</f>
        <v>40.5781481481482</v>
      </c>
      <c r="E9" s="7" t="n">
        <f aca="false">IF(媒体!$E$6&lt;&gt;"〇",0,IF(媒体!$B$6="",媒体!$C$6,SUMPRODUCT(ペルソナの年代!$C$5:$H$5,INDEX(媒体の利用率!$B$2:$G$9,MATCH(媒体!$B$6,媒体の利用率!$A$2:$A$9,0),0))^2/INDEX(媒体の利用率!$H$2:$H$9,MATCH(媒体!$B$6,媒体の利用率!$A$2:$A$9,0)))*媒体!$D$6)</f>
        <v>14.1846259259259</v>
      </c>
      <c r="F9" s="7" t="n">
        <f aca="false">IF(媒体!$E$6&lt;&gt;"〇",0,IF(媒体!$B$6="",媒体!$C$6,SUMPRODUCT(ペルソナの年代!$C$6:$H$6,INDEX(媒体の利用率!$B$2:$G$9,MATCH(媒体!$B$6,媒体の利用率!$A$2:$A$9,0),0))^2/INDEX(媒体の利用率!$H$2:$H$9,MATCH(媒体!$B$6,媒体の利用率!$A$2:$A$9,0)))*媒体!$D$6)</f>
        <v>41.9378703703704</v>
      </c>
      <c r="G9" s="7" t="n">
        <f aca="false">IF(媒体!$E$6&lt;&gt;"〇",0,IF(媒体!$B$6="",媒体!$C$6,SUMPRODUCT(ペルソナの年代!$C$7:$H$7,INDEX(媒体の利用率!$B$2:$G$9,MATCH(媒体!$B$6,媒体の利用率!$A$2:$A$9,0),0))^2/INDEX(媒体の利用率!$H$2:$H$9,MATCH(媒体!$B$6,媒体の利用率!$A$2:$A$9,0)))*媒体!$D$6)</f>
        <v>49.9120037037037</v>
      </c>
      <c r="I9" s="8" t="n">
        <f aca="false">IF(B9&gt;=LARGE(B$5:B$15,$C$1),B9/SUMPRODUCT((B$5:B$15&gt;=LARGE(B$5:B$15,$C$1))*B$5:B$15),0)</f>
        <v>0</v>
      </c>
      <c r="J9" s="8" t="n">
        <f aca="false">IF(C9&gt;=LARGE(C$5:C$15,$C$1),C9/SUMPRODUCT((C$5:C$15&gt;=LARGE(C$5:C$15,$C$1))*C$5:C$15),0)</f>
        <v>0</v>
      </c>
      <c r="K9" s="8" t="n">
        <f aca="false">IF(D9&gt;=LARGE(D$5:D$15,$C$1),D9/SUMPRODUCT((D$5:D$15&gt;=LARGE(D$5:D$15,$C$1))*D$5:D$15),0)</f>
        <v>0</v>
      </c>
      <c r="L9" s="8" t="n">
        <f aca="false">IF(E9&gt;=LARGE(E$5:E$15,$C$1),E9/SUMPRODUCT((E$5:E$15&gt;=LARGE(E$5:E$15,$C$1))*E$5:E$15),0)</f>
        <v>0</v>
      </c>
      <c r="M9" s="8" t="n">
        <f aca="false">IF(F9&gt;=LARGE(F$5:F$15,$C$1),F9/SUMPRODUCT((F$5:F$15&gt;=LARGE(F$5:F$15,$C$1))*F$5:F$15),0)</f>
        <v>0</v>
      </c>
      <c r="N9" s="8" t="n">
        <f aca="false">IF(G9&gt;=LARGE(G$5:G$15,$C$1),G9/SUMPRODUCT((G$5:G$15&gt;=LARGE(G$5:G$15,$C$1))*G$5:G$15),0)</f>
        <v>0</v>
      </c>
    </row>
    <row r="10" customFormat="false" ht="15" hidden="false" customHeight="false" outlineLevel="0" collapsed="false">
      <c r="A10" s="2" t="str">
        <f aca="false">媒体!A7</f>
        <v>ポータル掲載</v>
      </c>
      <c r="B10" s="7" t="n">
        <f aca="false">IF(媒体!$E$7&lt;&gt;"〇",0,IF(媒体!$B$7="",媒体!$C$7,SUMPRODUCT(ペルソナの年代!$C$2:$H$2,INDEX(媒体の利用率!$B$2:$G$9,MATCH(媒体!$B$7,媒体の利用率!$A$2:$A$9,0),0))^2/INDEX(媒体の利用率!$H$2:$H$9,MATCH(媒体!$B$7,媒体の利用率!$A$2:$A$9,0)))*媒体!$D$7)</f>
        <v>65.7</v>
      </c>
      <c r="C10" s="7" t="n">
        <f aca="false">IF(媒体!$E$7&lt;&gt;"〇",0,IF(媒体!$B$7="",媒体!$C$7,SUMPRODUCT(ペルソナの年代!$C$3:$H$3,INDEX(媒体の利用率!$B$2:$G$9,MATCH(媒体!$B$7,媒体の利用率!$A$2:$A$9,0),0))^2/INDEX(媒体の利用率!$H$2:$H$9,MATCH(媒体!$B$7,媒体の利用率!$A$2:$A$9,0)))*媒体!$D$7)</f>
        <v>65.7</v>
      </c>
      <c r="D10" s="7" t="n">
        <f aca="false">IF(媒体!$E$7&lt;&gt;"〇",0,IF(媒体!$B$7="",媒体!$C$7,SUMPRODUCT(ペルソナの年代!$C$4:$H$4,INDEX(媒体の利用率!$B$2:$G$9,MATCH(媒体!$B$7,媒体の利用率!$A$2:$A$9,0),0))^2/INDEX(媒体の利用率!$H$2:$H$9,MATCH(媒体!$B$7,媒体の利用率!$A$2:$A$9,0)))*媒体!$D$7)</f>
        <v>65.7</v>
      </c>
      <c r="E10" s="7" t="n">
        <f aca="false">IF(媒体!$E$7&lt;&gt;"〇",0,IF(媒体!$B$7="",媒体!$C$7,SUMPRODUCT(ペルソナの年代!$C$5:$H$5,INDEX(媒体の利用率!$B$2:$G$9,MATCH(媒体!$B$7,媒体の利用率!$A$2:$A$9,0),0))^2/INDEX(媒体の利用率!$H$2:$H$9,MATCH(媒体!$B$7,媒体の利用率!$A$2:$A$9,0)))*媒体!$D$7)</f>
        <v>65.7</v>
      </c>
      <c r="F10" s="7" t="n">
        <f aca="false">IF(媒体!$E$7&lt;&gt;"〇",0,IF(媒体!$B$7="",媒体!$C$7,SUMPRODUCT(ペルソナの年代!$C$6:$H$6,INDEX(媒体の利用率!$B$2:$G$9,MATCH(媒体!$B$7,媒体の利用率!$A$2:$A$9,0),0))^2/INDEX(媒体の利用率!$H$2:$H$9,MATCH(媒体!$B$7,媒体の利用率!$A$2:$A$9,0)))*媒体!$D$7)</f>
        <v>65.7</v>
      </c>
      <c r="G10" s="7" t="n">
        <f aca="false">IF(媒体!$E$7&lt;&gt;"〇",0,IF(媒体!$B$7="",媒体!$C$7,SUMPRODUCT(ペルソナの年代!$C$7:$H$7,INDEX(媒体の利用率!$B$2:$G$9,MATCH(媒体!$B$7,媒体の利用率!$A$2:$A$9,0),0))^2/INDEX(媒体の利用率!$H$2:$H$9,MATCH(媒体!$B$7,媒体の利用率!$A$2:$A$9,0)))*媒体!$D$7)</f>
        <v>65.7</v>
      </c>
      <c r="I10" s="8" t="n">
        <f aca="false">IF(B10&gt;=LARGE(B$5:B$15,$C$1),B10/SUMPRODUCT((B$5:B$15&gt;=LARGE(B$5:B$15,$C$1))*B$5:B$15),0)</f>
        <v>0.123756491958124</v>
      </c>
      <c r="J10" s="8" t="n">
        <f aca="false">IF(C10&gt;=LARGE(C$5:C$15,$C$1),C10/SUMPRODUCT((C$5:C$15&gt;=LARGE(C$5:C$15,$C$1))*C$5:C$15),0)</f>
        <v>0.15170574567856</v>
      </c>
      <c r="K10" s="8" t="n">
        <f aca="false">IF(D10&gt;=LARGE(D$5:D$15,$C$1),D10/SUMPRODUCT((D$5:D$15&gt;=LARGE(D$5:D$15,$C$1))*D$5:D$15),0)</f>
        <v>0.176506984006909</v>
      </c>
      <c r="L10" s="8" t="n">
        <f aca="false">IF(E10&gt;=LARGE(E$5:E$15,$C$1),E10/SUMPRODUCT((E$5:E$15&gt;=LARGE(E$5:E$15,$C$1))*E$5:E$15),0)</f>
        <v>0.187804617380461</v>
      </c>
      <c r="M10" s="8" t="n">
        <f aca="false">IF(F10&gt;=LARGE(F$5:F$15,$C$1),F10/SUMPRODUCT((F$5:F$15&gt;=LARGE(F$5:F$15,$C$1))*F$5:F$15),0)</f>
        <v>0.128359366947478</v>
      </c>
      <c r="N10" s="8" t="n">
        <f aca="false">IF(G10&gt;=LARGE(G$5:G$15,$C$1),G10/SUMPRODUCT((G$5:G$15&gt;=LARGE(G$5:G$15,$C$1))*G$5:G$15),0)</f>
        <v>0.159491724386341</v>
      </c>
    </row>
    <row r="11" customFormat="false" ht="15" hidden="false" customHeight="false" outlineLevel="0" collapsed="false">
      <c r="A11" s="2" t="str">
        <f aca="false">媒体!A8</f>
        <v>Google検索広告</v>
      </c>
      <c r="B11" s="7" t="n">
        <f aca="false">IF(媒体!$E$8&lt;&gt;"〇",0,IF(媒体!$B$8="",媒体!$C$8,SUMPRODUCT(ペルソナの年代!$C$2:$H$2,INDEX(媒体の利用率!$B$2:$G$9,MATCH(媒体!$B$8,媒体の利用率!$A$2:$A$9,0),0))^2/INDEX(媒体の利用率!$H$2:$H$9,MATCH(媒体!$B$8,媒体の利用率!$A$2:$A$9,0)))*媒体!$D$8)</f>
        <v>65.7</v>
      </c>
      <c r="C11" s="7" t="n">
        <f aca="false">IF(媒体!$E$8&lt;&gt;"〇",0,IF(媒体!$B$8="",媒体!$C$8,SUMPRODUCT(ペルソナの年代!$C$3:$H$3,INDEX(媒体の利用率!$B$2:$G$9,MATCH(媒体!$B$8,媒体の利用率!$A$2:$A$9,0),0))^2/INDEX(媒体の利用率!$H$2:$H$9,MATCH(媒体!$B$8,媒体の利用率!$A$2:$A$9,0)))*媒体!$D$8)</f>
        <v>65.7</v>
      </c>
      <c r="D11" s="7" t="n">
        <f aca="false">IF(媒体!$E$8&lt;&gt;"〇",0,IF(媒体!$B$8="",媒体!$C$8,SUMPRODUCT(ペルソナの年代!$C$4:$H$4,INDEX(媒体の利用率!$B$2:$G$9,MATCH(媒体!$B$8,媒体の利用率!$A$2:$A$9,0),0))^2/INDEX(媒体の利用率!$H$2:$H$9,MATCH(媒体!$B$8,媒体の利用率!$A$2:$A$9,0)))*媒体!$D$8)</f>
        <v>65.7</v>
      </c>
      <c r="E11" s="7" t="n">
        <f aca="false">IF(媒体!$E$8&lt;&gt;"〇",0,IF(媒体!$B$8="",媒体!$C$8,SUMPRODUCT(ペルソナの年代!$C$5:$H$5,INDEX(媒体の利用率!$B$2:$G$9,MATCH(媒体!$B$8,媒体の利用率!$A$2:$A$9,0),0))^2/INDEX(媒体の利用率!$H$2:$H$9,MATCH(媒体!$B$8,媒体の利用率!$A$2:$A$9,0)))*媒体!$D$8)</f>
        <v>65.7</v>
      </c>
      <c r="F11" s="7" t="n">
        <f aca="false">IF(媒体!$E$8&lt;&gt;"〇",0,IF(媒体!$B$8="",媒体!$C$8,SUMPRODUCT(ペルソナの年代!$C$6:$H$6,INDEX(媒体の利用率!$B$2:$G$9,MATCH(媒体!$B$8,媒体の利用率!$A$2:$A$9,0),0))^2/INDEX(媒体の利用率!$H$2:$H$9,MATCH(媒体!$B$8,媒体の利用率!$A$2:$A$9,0)))*媒体!$D$8)</f>
        <v>65.7</v>
      </c>
      <c r="G11" s="7" t="n">
        <f aca="false">IF(媒体!$E$8&lt;&gt;"〇",0,IF(媒体!$B$8="",媒体!$C$8,SUMPRODUCT(ペルソナの年代!$C$7:$H$7,INDEX(媒体の利用率!$B$2:$G$9,MATCH(媒体!$B$8,媒体の利用率!$A$2:$A$9,0),0))^2/INDEX(媒体の利用率!$H$2:$H$9,MATCH(媒体!$B$8,媒体の利用率!$A$2:$A$9,0)))*媒体!$D$8)</f>
        <v>65.7</v>
      </c>
      <c r="I11" s="8" t="n">
        <f aca="false">IF(B11&gt;=LARGE(B$5:B$15,$C$1),B11/SUMPRODUCT((B$5:B$15&gt;=LARGE(B$5:B$15,$C$1))*B$5:B$15),0)</f>
        <v>0.123756491958124</v>
      </c>
      <c r="J11" s="8" t="n">
        <f aca="false">IF(C11&gt;=LARGE(C$5:C$15,$C$1),C11/SUMPRODUCT((C$5:C$15&gt;=LARGE(C$5:C$15,$C$1))*C$5:C$15),0)</f>
        <v>0.15170574567856</v>
      </c>
      <c r="K11" s="8" t="n">
        <f aca="false">IF(D11&gt;=LARGE(D$5:D$15,$C$1),D11/SUMPRODUCT((D$5:D$15&gt;=LARGE(D$5:D$15,$C$1))*D$5:D$15),0)</f>
        <v>0.176506984006909</v>
      </c>
      <c r="L11" s="8" t="n">
        <f aca="false">IF(E11&gt;=LARGE(E$5:E$15,$C$1),E11/SUMPRODUCT((E$5:E$15&gt;=LARGE(E$5:E$15,$C$1))*E$5:E$15),0)</f>
        <v>0.187804617380461</v>
      </c>
      <c r="M11" s="8" t="n">
        <f aca="false">IF(F11&gt;=LARGE(F$5:F$15,$C$1),F11/SUMPRODUCT((F$5:F$15&gt;=LARGE(F$5:F$15,$C$1))*F$5:F$15),0)</f>
        <v>0.128359366947478</v>
      </c>
      <c r="N11" s="8" t="n">
        <f aca="false">IF(G11&gt;=LARGE(G$5:G$15,$C$1),G11/SUMPRODUCT((G$5:G$15&gt;=LARGE(G$5:G$15,$C$1))*G$5:G$15),0)</f>
        <v>0.159491724386341</v>
      </c>
    </row>
    <row r="12" customFormat="false" ht="15" hidden="false" customHeight="false" outlineLevel="0" collapsed="false">
      <c r="A12" s="2" t="str">
        <f aca="false">媒体!A9</f>
        <v>新聞折込</v>
      </c>
      <c r="B12" s="7" t="n">
        <f aca="false">IF(媒体!$E$9&lt;&gt;"〇",0,IF(媒体!$B$9="",媒体!$C$9,SUMPRODUCT(ペルソナの年代!$C$2:$H$2,INDEX(媒体の利用率!$B$2:$G$9,MATCH(媒体!$B$9,媒体の利用率!$A$2:$A$9,0),0))^2/INDEX(媒体の利用率!$H$2:$H$9,MATCH(媒体!$B$9,媒体の利用率!$A$2:$A$9,0)))*媒体!$D$9)</f>
        <v>0.279511737089202</v>
      </c>
      <c r="C12" s="7" t="n">
        <f aca="false">IF(媒体!$E$9&lt;&gt;"〇",0,IF(媒体!$B$9="",媒体!$C$9,SUMPRODUCT(ペルソナの年代!$C$3:$H$3,INDEX(媒体の利用率!$B$2:$G$9,MATCH(媒体!$B$9,媒体の利用率!$A$2:$A$9,0),0))^2/INDEX(媒体の利用率!$H$2:$H$9,MATCH(媒体!$B$9,媒体の利用率!$A$2:$A$9,0)))*媒体!$D$9)</f>
        <v>2.20293427230047</v>
      </c>
      <c r="D12" s="7" t="n">
        <f aca="false">IF(媒体!$E$9&lt;&gt;"〇",0,IF(媒体!$B$9="",媒体!$C$9,SUMPRODUCT(ペルソナの年代!$C$4:$H$4,INDEX(媒体の利用率!$B$2:$G$9,MATCH(媒体!$B$9,媒体の利用率!$A$2:$A$9,0),0))^2/INDEX(媒体の利用率!$H$2:$H$9,MATCH(媒体!$B$9,媒体の利用率!$A$2:$A$9,0)))*媒体!$D$9)</f>
        <v>30.2892018779343</v>
      </c>
      <c r="E12" s="7" t="n">
        <f aca="false">IF(媒体!$E$9&lt;&gt;"〇",0,IF(媒体!$B$9="",媒体!$C$9,SUMPRODUCT(ペルソナの年代!$C$5:$H$5,INDEX(媒体の利用率!$B$2:$G$9,MATCH(媒体!$B$9,媒体の利用率!$A$2:$A$9,0),0))^2/INDEX(媒体の利用率!$H$2:$H$9,MATCH(媒体!$B$9,媒体の利用率!$A$2:$A$9,0)))*媒体!$D$9)</f>
        <v>83.1326948356807</v>
      </c>
      <c r="F12" s="7" t="n">
        <f aca="false">IF(媒体!$E$9&lt;&gt;"〇",0,IF(媒体!$B$9="",媒体!$C$9,SUMPRODUCT(ペルソナの年代!$C$6:$H$6,INDEX(媒体の利用率!$B$2:$G$9,MATCH(媒体!$B$9,媒体の利用率!$A$2:$A$9,0),0))^2/INDEX(媒体の利用率!$H$2:$H$9,MATCH(媒体!$B$9,媒体の利用率!$A$2:$A$9,0)))*媒体!$D$9)</f>
        <v>1.1226338028169</v>
      </c>
      <c r="G12" s="7" t="n">
        <f aca="false">IF(媒体!$E$9&lt;&gt;"〇",0,IF(媒体!$B$9="",媒体!$C$9,SUMPRODUCT(ペルソナの年代!$C$7:$H$7,INDEX(媒体の利用率!$B$2:$G$9,MATCH(媒体!$B$9,媒体の利用率!$A$2:$A$9,0),0))^2/INDEX(媒体の利用率!$H$2:$H$9,MATCH(媒体!$B$9,媒体の利用率!$A$2:$A$9,0)))*媒体!$D$9)</f>
        <v>7.69201877934272</v>
      </c>
      <c r="I12" s="8" t="n">
        <f aca="false">IF(B12&gt;=LARGE(B$5:B$15,$C$1),B12/SUMPRODUCT((B$5:B$15&gt;=LARGE(B$5:B$15,$C$1))*B$5:B$15),0)</f>
        <v>0</v>
      </c>
      <c r="J12" s="8" t="n">
        <f aca="false">IF(C12&gt;=LARGE(C$5:C$15,$C$1),C12/SUMPRODUCT((C$5:C$15&gt;=LARGE(C$5:C$15,$C$1))*C$5:C$15),0)</f>
        <v>0</v>
      </c>
      <c r="K12" s="8" t="n">
        <f aca="false">IF(D12&gt;=LARGE(D$5:D$15,$C$1),D12/SUMPRODUCT((D$5:D$15&gt;=LARGE(D$5:D$15,$C$1))*D$5:D$15),0)</f>
        <v>0</v>
      </c>
      <c r="L12" s="8" t="n">
        <f aca="false">IF(E12&gt;=LARGE(E$5:E$15,$C$1),E12/SUMPRODUCT((E$5:E$15&gt;=LARGE(E$5:E$15,$C$1))*E$5:E$15),0)</f>
        <v>0.237636285318442</v>
      </c>
      <c r="M12" s="8" t="n">
        <f aca="false">IF(F12&gt;=LARGE(F$5:F$15,$C$1),F12/SUMPRODUCT((F$5:F$15&gt;=LARGE(F$5:F$15,$C$1))*F$5:F$15),0)</f>
        <v>0</v>
      </c>
      <c r="N12" s="8" t="n">
        <f aca="false">IF(G12&gt;=LARGE(G$5:G$15,$C$1),G12/SUMPRODUCT((G$5:G$15&gt;=LARGE(G$5:G$15,$C$1))*G$5:G$15),0)</f>
        <v>0</v>
      </c>
    </row>
    <row r="13" customFormat="false" ht="15" hidden="false" customHeight="false" outlineLevel="0" collapsed="false">
      <c r="A13" s="2" t="str">
        <f aca="false">媒体!A10</f>
        <v>ポスティング</v>
      </c>
      <c r="B13" s="7" t="n">
        <f aca="false">IF(媒体!$E$10&lt;&gt;"〇",0,IF(媒体!$B$10="",媒体!$C$10,SUMPRODUCT(ペルソナの年代!$C$2:$H$2,INDEX(媒体の利用率!$B$2:$G$9,MATCH(媒体!$B$10,媒体の利用率!$A$2:$A$9,0),0))^2/INDEX(媒体の利用率!$H$2:$H$9,MATCH(媒体!$B$10,媒体の利用率!$A$2:$A$9,0)))*媒体!$D$10)</f>
        <v>20</v>
      </c>
      <c r="C13" s="7" t="n">
        <f aca="false">IF(媒体!$E$10&lt;&gt;"〇",0,IF(媒体!$B$10="",媒体!$C$10,SUMPRODUCT(ペルソナの年代!$C$3:$H$3,INDEX(媒体の利用率!$B$2:$G$9,MATCH(媒体!$B$10,媒体の利用率!$A$2:$A$9,0),0))^2/INDEX(媒体の利用率!$H$2:$H$9,MATCH(媒体!$B$10,媒体の利用率!$A$2:$A$9,0)))*媒体!$D$10)</f>
        <v>20</v>
      </c>
      <c r="D13" s="7" t="n">
        <f aca="false">IF(媒体!$E$10&lt;&gt;"〇",0,IF(媒体!$B$10="",媒体!$C$10,SUMPRODUCT(ペルソナの年代!$C$4:$H$4,INDEX(媒体の利用率!$B$2:$G$9,MATCH(媒体!$B$10,媒体の利用率!$A$2:$A$9,0),0))^2/INDEX(媒体の利用率!$H$2:$H$9,MATCH(媒体!$B$10,媒体の利用率!$A$2:$A$9,0)))*媒体!$D$10)</f>
        <v>20</v>
      </c>
      <c r="E13" s="7" t="n">
        <f aca="false">IF(媒体!$E$10&lt;&gt;"〇",0,IF(媒体!$B$10="",媒体!$C$10,SUMPRODUCT(ペルソナの年代!$C$5:$H$5,INDEX(媒体の利用率!$B$2:$G$9,MATCH(媒体!$B$10,媒体の利用率!$A$2:$A$9,0),0))^2/INDEX(媒体の利用率!$H$2:$H$9,MATCH(媒体!$B$10,媒体の利用率!$A$2:$A$9,0)))*媒体!$D$10)</f>
        <v>20</v>
      </c>
      <c r="F13" s="7" t="n">
        <f aca="false">IF(媒体!$E$10&lt;&gt;"〇",0,IF(媒体!$B$10="",媒体!$C$10,SUMPRODUCT(ペルソナの年代!$C$6:$H$6,INDEX(媒体の利用率!$B$2:$G$9,MATCH(媒体!$B$10,媒体の利用率!$A$2:$A$9,0),0))^2/INDEX(媒体の利用率!$H$2:$H$9,MATCH(媒体!$B$10,媒体の利用率!$A$2:$A$9,0)))*媒体!$D$10)</f>
        <v>20</v>
      </c>
      <c r="G13" s="7" t="n">
        <f aca="false">IF(媒体!$E$10&lt;&gt;"〇",0,IF(媒体!$B$10="",媒体!$C$10,SUMPRODUCT(ペルソナの年代!$C$7:$H$7,INDEX(媒体の利用率!$B$2:$G$9,MATCH(媒体!$B$10,媒体の利用率!$A$2:$A$9,0),0))^2/INDEX(媒体の利用率!$H$2:$H$9,MATCH(媒体!$B$10,媒体の利用率!$A$2:$A$9,0)))*媒体!$D$10)</f>
        <v>20</v>
      </c>
      <c r="I13" s="8" t="n">
        <f aca="false">IF(B13&gt;=LARGE(B$5:B$15,$C$1),B13/SUMPRODUCT((B$5:B$15&gt;=LARGE(B$5:B$15,$C$1))*B$5:B$15),0)</f>
        <v>0</v>
      </c>
      <c r="J13" s="8" t="n">
        <f aca="false">IF(C13&gt;=LARGE(C$5:C$15,$C$1),C13/SUMPRODUCT((C$5:C$15&gt;=LARGE(C$5:C$15,$C$1))*C$5:C$15),0)</f>
        <v>0</v>
      </c>
      <c r="K13" s="8" t="n">
        <f aca="false">IF(D13&gt;=LARGE(D$5:D$15,$C$1),D13/SUMPRODUCT((D$5:D$15&gt;=LARGE(D$5:D$15,$C$1))*D$5:D$15),0)</f>
        <v>0</v>
      </c>
      <c r="L13" s="8" t="n">
        <f aca="false">IF(E13&gt;=LARGE(E$5:E$15,$C$1),E13/SUMPRODUCT((E$5:E$15&gt;=LARGE(E$5:E$15,$C$1))*E$5:E$15),0)</f>
        <v>0</v>
      </c>
      <c r="M13" s="8" t="n">
        <f aca="false">IF(F13&gt;=LARGE(F$5:F$15,$C$1),F13/SUMPRODUCT((F$5:F$15&gt;=LARGE(F$5:F$15,$C$1))*F$5:F$15),0)</f>
        <v>0</v>
      </c>
      <c r="N13" s="8" t="n">
        <f aca="false">IF(G13&gt;=LARGE(G$5:G$15,$C$1),G13/SUMPRODUCT((G$5:G$15&gt;=LARGE(G$5:G$15,$C$1))*G$5:G$15),0)</f>
        <v>0</v>
      </c>
    </row>
    <row r="14" customFormat="false" ht="15" hidden="false" customHeight="false" outlineLevel="0" collapsed="false">
      <c r="A14" s="2" t="str">
        <f aca="false">媒体!A11</f>
        <v>現地看板・見学会</v>
      </c>
      <c r="B14" s="7" t="n">
        <f aca="false">IF(媒体!$E$11&lt;&gt;"〇",0,IF(媒体!$B$11="",媒体!$C$11,SUMPRODUCT(ペルソナの年代!$C$2:$H$2,INDEX(媒体の利用率!$B$2:$G$9,MATCH(媒体!$B$11,媒体の利用率!$A$2:$A$9,0),0))^2/INDEX(媒体の利用率!$H$2:$H$9,MATCH(媒体!$B$11,媒体の利用率!$A$2:$A$9,0)))*媒体!$D$11)</f>
        <v>12.9</v>
      </c>
      <c r="C14" s="7" t="n">
        <f aca="false">IF(媒体!$E$11&lt;&gt;"〇",0,IF(媒体!$B$11="",媒体!$C$11,SUMPRODUCT(ペルソナの年代!$C$3:$H$3,INDEX(媒体の利用率!$B$2:$G$9,MATCH(媒体!$B$11,媒体の利用率!$A$2:$A$9,0),0))^2/INDEX(媒体の利用率!$H$2:$H$9,MATCH(媒体!$B$11,媒体の利用率!$A$2:$A$9,0)))*媒体!$D$11)</f>
        <v>12.9</v>
      </c>
      <c r="D14" s="7" t="n">
        <f aca="false">IF(媒体!$E$11&lt;&gt;"〇",0,IF(媒体!$B$11="",媒体!$C$11,SUMPRODUCT(ペルソナの年代!$C$4:$H$4,INDEX(媒体の利用率!$B$2:$G$9,MATCH(媒体!$B$11,媒体の利用率!$A$2:$A$9,0),0))^2/INDEX(媒体の利用率!$H$2:$H$9,MATCH(媒体!$B$11,媒体の利用率!$A$2:$A$9,0)))*媒体!$D$11)</f>
        <v>12.9</v>
      </c>
      <c r="E14" s="7" t="n">
        <f aca="false">IF(媒体!$E$11&lt;&gt;"〇",0,IF(媒体!$B$11="",媒体!$C$11,SUMPRODUCT(ペルソナの年代!$C$5:$H$5,INDEX(媒体の利用率!$B$2:$G$9,MATCH(媒体!$B$11,媒体の利用率!$A$2:$A$9,0),0))^2/INDEX(媒体の利用率!$H$2:$H$9,MATCH(媒体!$B$11,媒体の利用率!$A$2:$A$9,0)))*媒体!$D$11)</f>
        <v>12.9</v>
      </c>
      <c r="F14" s="7" t="n">
        <f aca="false">IF(媒体!$E$11&lt;&gt;"〇",0,IF(媒体!$B$11="",媒体!$C$11,SUMPRODUCT(ペルソナの年代!$C$6:$H$6,INDEX(媒体の利用率!$B$2:$G$9,MATCH(媒体!$B$11,媒体の利用率!$A$2:$A$9,0),0))^2/INDEX(媒体の利用率!$H$2:$H$9,MATCH(媒体!$B$11,媒体の利用率!$A$2:$A$9,0)))*媒体!$D$11)</f>
        <v>12.9</v>
      </c>
      <c r="G14" s="7" t="n">
        <f aca="false">IF(媒体!$E$11&lt;&gt;"〇",0,IF(媒体!$B$11="",媒体!$C$11,SUMPRODUCT(ペルソナの年代!$C$7:$H$7,INDEX(媒体の利用率!$B$2:$G$9,MATCH(媒体!$B$11,媒体の利用率!$A$2:$A$9,0),0))^2/INDEX(媒体の利用率!$H$2:$H$9,MATCH(媒体!$B$11,媒体の利用率!$A$2:$A$9,0)))*媒体!$D$11)</f>
        <v>12.9</v>
      </c>
      <c r="I14" s="8" t="n">
        <f aca="false">IF(B14&gt;=LARGE(B$5:B$15,$C$1),B14/SUMPRODUCT((B$5:B$15&gt;=LARGE(B$5:B$15,$C$1))*B$5:B$15),0)</f>
        <v>0</v>
      </c>
      <c r="J14" s="8" t="n">
        <f aca="false">IF(C14&gt;=LARGE(C$5:C$15,$C$1),C14/SUMPRODUCT((C$5:C$15&gt;=LARGE(C$5:C$15,$C$1))*C$5:C$15),0)</f>
        <v>0</v>
      </c>
      <c r="K14" s="8" t="n">
        <f aca="false">IF(D14&gt;=LARGE(D$5:D$15,$C$1),D14/SUMPRODUCT((D$5:D$15&gt;=LARGE(D$5:D$15,$C$1))*D$5:D$15),0)</f>
        <v>0</v>
      </c>
      <c r="L14" s="8" t="n">
        <f aca="false">IF(E14&gt;=LARGE(E$5:E$15,$C$1),E14/SUMPRODUCT((E$5:E$15&gt;=LARGE(E$5:E$15,$C$1))*E$5:E$15),0)</f>
        <v>0</v>
      </c>
      <c r="M14" s="8" t="n">
        <f aca="false">IF(F14&gt;=LARGE(F$5:F$15,$C$1),F14/SUMPRODUCT((F$5:F$15&gt;=LARGE(F$5:F$15,$C$1))*F$5:F$15),0)</f>
        <v>0</v>
      </c>
      <c r="N14" s="8" t="n">
        <f aca="false">IF(G14&gt;=LARGE(G$5:G$15,$C$1),G14/SUMPRODUCT((G$5:G$15&gt;=LARGE(G$5:G$15,$C$1))*G$5:G$15),0)</f>
        <v>0</v>
      </c>
    </row>
    <row r="15" customFormat="false" ht="15" hidden="false" customHeight="false" outlineLevel="0" collapsed="false">
      <c r="A15" s="2" t="str">
        <f aca="false">媒体!A12</f>
        <v>店頭・紹介</v>
      </c>
      <c r="B15" s="7" t="n">
        <f aca="false">IF(媒体!$E$12&lt;&gt;"〇",0,IF(媒体!$B$12="",媒体!$C$12,SUMPRODUCT(ペルソナの年代!$C$2:$H$2,INDEX(媒体の利用率!$B$2:$G$9,MATCH(媒体!$B$12,媒体の利用率!$A$2:$A$9,0),0))^2/INDEX(媒体の利用率!$H$2:$H$9,MATCH(媒体!$B$12,媒体の利用率!$A$2:$A$9,0)))*媒体!$D$12)</f>
        <v>43.6</v>
      </c>
      <c r="C15" s="7" t="n">
        <f aca="false">IF(媒体!$E$12&lt;&gt;"〇",0,IF(媒体!$B$12="",媒体!$C$12,SUMPRODUCT(ペルソナの年代!$C$3:$H$3,INDEX(媒体の利用率!$B$2:$G$9,MATCH(媒体!$B$12,媒体の利用率!$A$2:$A$9,0),0))^2/INDEX(媒体の利用率!$H$2:$H$9,MATCH(媒体!$B$12,媒体の利用率!$A$2:$A$9,0)))*媒体!$D$12)</f>
        <v>43.6</v>
      </c>
      <c r="D15" s="7" t="n">
        <f aca="false">IF(媒体!$E$12&lt;&gt;"〇",0,IF(媒体!$B$12="",媒体!$C$12,SUMPRODUCT(ペルソナの年代!$C$4:$H$4,INDEX(媒体の利用率!$B$2:$G$9,MATCH(媒体!$B$12,媒体の利用率!$A$2:$A$9,0),0))^2/INDEX(媒体の利用率!$H$2:$H$9,MATCH(媒体!$B$12,媒体の利用率!$A$2:$A$9,0)))*媒体!$D$12)</f>
        <v>43.6</v>
      </c>
      <c r="E15" s="7" t="n">
        <f aca="false">IF(媒体!$E$12&lt;&gt;"〇",0,IF(媒体!$B$12="",媒体!$C$12,SUMPRODUCT(ペルソナの年代!$C$5:$H$5,INDEX(媒体の利用率!$B$2:$G$9,MATCH(媒体!$B$12,媒体の利用率!$A$2:$A$9,0),0))^2/INDEX(媒体の利用率!$H$2:$H$9,MATCH(媒体!$B$12,媒体の利用率!$A$2:$A$9,0)))*媒体!$D$12)</f>
        <v>43.6</v>
      </c>
      <c r="F15" s="7" t="n">
        <f aca="false">IF(媒体!$E$12&lt;&gt;"〇",0,IF(媒体!$B$12="",媒体!$C$12,SUMPRODUCT(ペルソナの年代!$C$6:$H$6,INDEX(媒体の利用率!$B$2:$G$9,MATCH(媒体!$B$12,媒体の利用率!$A$2:$A$9,0),0))^2/INDEX(媒体の利用率!$H$2:$H$9,MATCH(媒体!$B$12,媒体の利用率!$A$2:$A$9,0)))*媒体!$D$12)</f>
        <v>43.6</v>
      </c>
      <c r="G15" s="7" t="n">
        <f aca="false">IF(媒体!$E$12&lt;&gt;"〇",0,IF(媒体!$B$12="",媒体!$C$12,SUMPRODUCT(ペルソナの年代!$C$7:$H$7,INDEX(媒体の利用率!$B$2:$G$9,MATCH(媒体!$B$12,媒体の利用率!$A$2:$A$9,0),0))^2/INDEX(媒体の利用率!$H$2:$H$9,MATCH(媒体!$B$12,媒体の利用率!$A$2:$A$9,0)))*媒体!$D$12)</f>
        <v>43.6</v>
      </c>
      <c r="I15" s="8" t="n">
        <f aca="false">IF(B15&gt;=LARGE(B$5:B$15,$C$1),B15/SUMPRODUCT((B$5:B$15&gt;=LARGE(B$5:B$15,$C$1))*B$5:B$15),0)</f>
        <v>0</v>
      </c>
      <c r="J15" s="8" t="n">
        <f aca="false">IF(C15&gt;=LARGE(C$5:C$15,$C$1),C15/SUMPRODUCT((C$5:C$15&gt;=LARGE(C$5:C$15,$C$1))*C$5:C$15),0)</f>
        <v>0</v>
      </c>
      <c r="K15" s="8" t="n">
        <f aca="false">IF(D15&gt;=LARGE(D$5:D$15,$C$1),D15/SUMPRODUCT((D$5:D$15&gt;=LARGE(D$5:D$15,$C$1))*D$5:D$15),0)</f>
        <v>0</v>
      </c>
      <c r="L15" s="8" t="n">
        <f aca="false">IF(E15&gt;=LARGE(E$5:E$15,$C$1),E15/SUMPRODUCT((E$5:E$15&gt;=LARGE(E$5:E$15,$C$1))*E$5:E$15),0)</f>
        <v>0</v>
      </c>
      <c r="M15" s="8" t="n">
        <f aca="false">IF(F15&gt;=LARGE(F$5:F$15,$C$1),F15/SUMPRODUCT((F$5:F$15&gt;=LARGE(F$5:F$15,$C$1))*F$5:F$15),0)</f>
        <v>0</v>
      </c>
      <c r="N15" s="8" t="n">
        <f aca="false">IF(G15&gt;=LARGE(G$5:G$15,$C$1),G15/SUMPRODUCT((G$5:G$15&gt;=LARGE(G$5:G$15,$C$1))*G$5:G$15),0)</f>
        <v>0</v>
      </c>
    </row>
    <row r="16" customFormat="false" ht="15" hidden="false" customHeight="false" outlineLevel="0" collapsed="false">
      <c r="A16" s="1" t="s">
        <v>32</v>
      </c>
      <c r="I16" s="8" t="n">
        <f aca="false">SUM(I5:I15)</f>
        <v>1</v>
      </c>
      <c r="J16" s="8" t="n">
        <f aca="false">SUM(J5:J15)</f>
        <v>1</v>
      </c>
      <c r="K16" s="8" t="n">
        <f aca="false">SUM(K5:K15)</f>
        <v>1</v>
      </c>
      <c r="L16" s="8" t="n">
        <f aca="false">SUM(L5:L15)</f>
        <v>1</v>
      </c>
      <c r="M16" s="8" t="n">
        <f aca="false">SUM(M5:M15)</f>
        <v>1</v>
      </c>
      <c r="N16" s="8" t="n">
        <f aca="false">SUM(N5:N15)</f>
        <v>1</v>
      </c>
    </row>
    <row r="18" customFormat="false" ht="15" hidden="false" customHeight="false" outlineLevel="0" collapsed="false">
      <c r="A18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70"/>
  </cols>
  <sheetData>
    <row r="1" customFormat="false" ht="28.35" hidden="false" customHeight="false" outlineLevel="0" collapsed="false">
      <c r="A1" s="5" t="s">
        <v>19</v>
      </c>
      <c r="B1" s="5" t="s">
        <v>34</v>
      </c>
      <c r="C1" s="5" t="s">
        <v>35</v>
      </c>
      <c r="D1" s="9" t="s">
        <v>36</v>
      </c>
      <c r="E1" s="9" t="s">
        <v>37</v>
      </c>
      <c r="F1" s="9" t="s">
        <v>38</v>
      </c>
      <c r="G1" s="9" t="s">
        <v>39</v>
      </c>
    </row>
    <row r="2" customFormat="false" ht="15" hidden="false" customHeight="false" outlineLevel="0" collapsed="false">
      <c r="A2" s="3" t="s">
        <v>40</v>
      </c>
      <c r="B2" s="4" t="s">
        <v>41</v>
      </c>
      <c r="C2" s="10"/>
      <c r="D2" s="11" t="n">
        <f aca="false">IFERROR(INDEX(反響の集計!$G$2:$G$12,MATCH(A2,反響の集計!$A$2:$A$12,0)),1)</f>
        <v>1</v>
      </c>
      <c r="E2" s="12" t="s">
        <v>42</v>
      </c>
      <c r="F2" s="12" t="s">
        <v>43</v>
      </c>
      <c r="G2" s="2" t="s">
        <v>44</v>
      </c>
    </row>
    <row r="3" customFormat="false" ht="15" hidden="false" customHeight="false" outlineLevel="0" collapsed="false">
      <c r="A3" s="3" t="s">
        <v>45</v>
      </c>
      <c r="B3" s="4" t="s">
        <v>46</v>
      </c>
      <c r="C3" s="10"/>
      <c r="D3" s="11" t="n">
        <f aca="false">IFERROR(INDEX(反響の集計!$G$2:$G$12,MATCH(A3,反響の集計!$A$2:$A$12,0)),1)</f>
        <v>1</v>
      </c>
      <c r="E3" s="12" t="s">
        <v>42</v>
      </c>
      <c r="F3" s="12" t="s">
        <v>47</v>
      </c>
      <c r="G3" s="2" t="s">
        <v>48</v>
      </c>
    </row>
    <row r="4" customFormat="false" ht="15" hidden="false" customHeight="false" outlineLevel="0" collapsed="false">
      <c r="A4" s="3" t="s">
        <v>49</v>
      </c>
      <c r="B4" s="4" t="s">
        <v>50</v>
      </c>
      <c r="C4" s="10"/>
      <c r="D4" s="11" t="n">
        <f aca="false">IFERROR(INDEX(反響の集計!$G$2:$G$12,MATCH(A4,反響の集計!$A$2:$A$12,0)),1)</f>
        <v>1</v>
      </c>
      <c r="E4" s="12" t="s">
        <v>42</v>
      </c>
      <c r="F4" s="12" t="s">
        <v>51</v>
      </c>
      <c r="G4" s="2" t="s">
        <v>48</v>
      </c>
    </row>
    <row r="5" customFormat="false" ht="15" hidden="false" customHeight="false" outlineLevel="0" collapsed="false">
      <c r="A5" s="3" t="s">
        <v>52</v>
      </c>
      <c r="B5" s="4" t="s">
        <v>53</v>
      </c>
      <c r="C5" s="10"/>
      <c r="D5" s="11" t="n">
        <f aca="false">IFERROR(INDEX(反響の集計!$G$2:$G$12,MATCH(A5,反響の集計!$A$2:$A$12,0)),1)</f>
        <v>1</v>
      </c>
      <c r="E5" s="12" t="s">
        <v>42</v>
      </c>
      <c r="F5" s="4" t="s">
        <v>54</v>
      </c>
      <c r="G5" s="2" t="s">
        <v>48</v>
      </c>
    </row>
    <row r="6" customFormat="false" ht="15" hidden="false" customHeight="false" outlineLevel="0" collapsed="false">
      <c r="A6" s="3" t="s">
        <v>55</v>
      </c>
      <c r="B6" s="4" t="s">
        <v>56</v>
      </c>
      <c r="C6" s="10"/>
      <c r="D6" s="11" t="n">
        <f aca="false">IFERROR(INDEX(反響の集計!$G$2:$G$12,MATCH(A6,反響の集計!$A$2:$A$12,0)),1)</f>
        <v>1</v>
      </c>
      <c r="E6" s="12" t="s">
        <v>42</v>
      </c>
      <c r="F6" s="12" t="s">
        <v>57</v>
      </c>
      <c r="G6" s="2" t="s">
        <v>48</v>
      </c>
    </row>
    <row r="7" customFormat="false" ht="15" hidden="false" customHeight="false" outlineLevel="0" collapsed="false">
      <c r="A7" s="2" t="s">
        <v>58</v>
      </c>
      <c r="B7" s="4"/>
      <c r="C7" s="10" t="n">
        <v>65.7</v>
      </c>
      <c r="D7" s="11" t="n">
        <f aca="false">IFERROR(INDEX(反響の集計!$G$2:$G$12,MATCH(A7,反響の集計!$A$2:$A$12,0)),1)</f>
        <v>1</v>
      </c>
      <c r="E7" s="12" t="s">
        <v>42</v>
      </c>
      <c r="F7" s="12" t="s">
        <v>59</v>
      </c>
      <c r="G7" s="2" t="s">
        <v>60</v>
      </c>
    </row>
    <row r="8" customFormat="false" ht="15" hidden="false" customHeight="false" outlineLevel="0" collapsed="false">
      <c r="A8" s="3" t="s">
        <v>61</v>
      </c>
      <c r="B8" s="4"/>
      <c r="C8" s="10" t="n">
        <v>65.7</v>
      </c>
      <c r="D8" s="11" t="n">
        <f aca="false">IFERROR(INDEX(反響の集計!$G$2:$G$12,MATCH(A8,反響の集計!$A$2:$A$12,0)),1)</f>
        <v>1</v>
      </c>
      <c r="E8" s="12" t="s">
        <v>42</v>
      </c>
      <c r="F8" s="12" t="s">
        <v>62</v>
      </c>
      <c r="G8" s="2" t="s">
        <v>63</v>
      </c>
    </row>
    <row r="9" customFormat="false" ht="15" hidden="false" customHeight="false" outlineLevel="0" collapsed="false">
      <c r="A9" s="2" t="s">
        <v>64</v>
      </c>
      <c r="B9" s="12" t="s">
        <v>65</v>
      </c>
      <c r="C9" s="10"/>
      <c r="D9" s="11" t="n">
        <f aca="false">IFERROR(INDEX(反響の集計!$G$2:$G$12,MATCH(A9,反響の集計!$A$2:$A$12,0)),1)</f>
        <v>1</v>
      </c>
      <c r="E9" s="12" t="s">
        <v>42</v>
      </c>
      <c r="F9" s="12" t="s">
        <v>66</v>
      </c>
      <c r="G9" s="2" t="s">
        <v>67</v>
      </c>
    </row>
    <row r="10" customFormat="false" ht="15" hidden="false" customHeight="false" outlineLevel="0" collapsed="false">
      <c r="A10" s="2" t="s">
        <v>68</v>
      </c>
      <c r="B10" s="4"/>
      <c r="C10" s="10" t="n">
        <v>20</v>
      </c>
      <c r="D10" s="11" t="n">
        <f aca="false">IFERROR(INDEX(反響の集計!$G$2:$G$12,MATCH(A10,反響の集計!$A$2:$A$12,0)),1)</f>
        <v>1</v>
      </c>
      <c r="E10" s="12" t="s">
        <v>42</v>
      </c>
      <c r="F10" s="12" t="s">
        <v>69</v>
      </c>
      <c r="G10" s="2" t="s">
        <v>70</v>
      </c>
    </row>
    <row r="11" customFormat="false" ht="15" hidden="false" customHeight="false" outlineLevel="0" collapsed="false">
      <c r="A11" s="2" t="s">
        <v>71</v>
      </c>
      <c r="B11" s="4"/>
      <c r="C11" s="10" t="n">
        <v>12.9</v>
      </c>
      <c r="D11" s="11" t="n">
        <f aca="false">IFERROR(INDEX(反響の集計!$G$2:$G$12,MATCH(A11,反響の集計!$A$2:$A$12,0)),1)</f>
        <v>1</v>
      </c>
      <c r="E11" s="12" t="s">
        <v>42</v>
      </c>
      <c r="F11" s="12" t="s">
        <v>72</v>
      </c>
      <c r="G11" s="2" t="s">
        <v>73</v>
      </c>
    </row>
    <row r="12" customFormat="false" ht="15" hidden="false" customHeight="false" outlineLevel="0" collapsed="false">
      <c r="A12" s="2" t="s">
        <v>74</v>
      </c>
      <c r="B12" s="4"/>
      <c r="C12" s="10" t="n">
        <v>43.6</v>
      </c>
      <c r="D12" s="11" t="n">
        <f aca="false">IFERROR(INDEX(反響の集計!$G$2:$G$12,MATCH(A12,反響の集計!$A$2:$A$12,0)),1)</f>
        <v>1</v>
      </c>
      <c r="E12" s="12" t="s">
        <v>42</v>
      </c>
      <c r="F12" s="12" t="s">
        <v>75</v>
      </c>
      <c r="G12" s="2" t="s">
        <v>76</v>
      </c>
    </row>
    <row r="14" customFormat="false" ht="15" hidden="false" customHeight="false" outlineLevel="0" collapsed="false">
      <c r="A14" s="2" t="s">
        <v>77</v>
      </c>
    </row>
    <row r="15" customFormat="false" ht="15" hidden="false" customHeight="false" outlineLevel="0" collapsed="false">
      <c r="A15" s="2" t="s">
        <v>78</v>
      </c>
    </row>
  </sheetData>
  <dataValidations count="2">
    <dataValidation allowBlank="true" errorStyle="stop" operator="between" showDropDown="false" showErrorMessage="false" showInputMessage="false" sqref="B2:B12" type="list">
      <formula1>媒体の利用率!$A$2:$A$9</formula1>
      <formula2>0</formula2>
    </dataValidation>
    <dataValidation allowBlank="true" errorStyle="stop" operator="between" showDropDown="false" showErrorMessage="false" showInputMessage="false" sqref="E2:E12" type="list">
      <formula1>"〇,×"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4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5" t="s">
        <v>79</v>
      </c>
      <c r="B1" s="13" t="s">
        <v>80</v>
      </c>
      <c r="C1" s="13" t="s">
        <v>81</v>
      </c>
      <c r="D1" s="13" t="s">
        <v>82</v>
      </c>
      <c r="E1" s="13" t="s">
        <v>83</v>
      </c>
      <c r="F1" s="13" t="s">
        <v>84</v>
      </c>
      <c r="G1" s="13" t="s">
        <v>85</v>
      </c>
      <c r="H1" s="5" t="s">
        <v>86</v>
      </c>
      <c r="I1" s="5" t="s">
        <v>87</v>
      </c>
      <c r="J1" s="5" t="s">
        <v>88</v>
      </c>
    </row>
    <row r="2" customFormat="false" ht="15" hidden="false" customHeight="false" outlineLevel="0" collapsed="false">
      <c r="A2" s="3" t="s">
        <v>53</v>
      </c>
      <c r="B2" s="10" t="n">
        <v>97.7</v>
      </c>
      <c r="C2" s="10" t="n">
        <v>97.9</v>
      </c>
      <c r="D2" s="10" t="n">
        <v>96.6</v>
      </c>
      <c r="E2" s="10" t="n">
        <v>95.6</v>
      </c>
      <c r="F2" s="10" t="n">
        <v>92</v>
      </c>
      <c r="G2" s="10" t="n">
        <v>77.8</v>
      </c>
      <c r="H2" s="10" t="n">
        <v>92.9</v>
      </c>
      <c r="I2" s="2" t="s">
        <v>89</v>
      </c>
      <c r="J2" s="2" t="s">
        <v>90</v>
      </c>
    </row>
    <row r="3" customFormat="false" ht="15" hidden="false" customHeight="false" outlineLevel="0" collapsed="false">
      <c r="A3" s="3" t="s">
        <v>41</v>
      </c>
      <c r="B3" s="10" t="n">
        <v>82.6</v>
      </c>
      <c r="C3" s="10" t="n">
        <v>76.6</v>
      </c>
      <c r="D3" s="10" t="n">
        <v>67.1</v>
      </c>
      <c r="E3" s="10" t="n">
        <v>54.4</v>
      </c>
      <c r="F3" s="10" t="n">
        <v>36.1</v>
      </c>
      <c r="G3" s="10" t="n">
        <v>15.8</v>
      </c>
      <c r="H3" s="10" t="n">
        <v>54.8</v>
      </c>
      <c r="I3" s="2" t="s">
        <v>89</v>
      </c>
      <c r="J3" s="2" t="s">
        <v>90</v>
      </c>
    </row>
    <row r="4" customFormat="false" ht="15" hidden="false" customHeight="false" outlineLevel="0" collapsed="false">
      <c r="A4" s="3" t="s">
        <v>46</v>
      </c>
      <c r="B4" s="10" t="n">
        <v>61.5</v>
      </c>
      <c r="C4" s="10" t="n">
        <v>44.7</v>
      </c>
      <c r="D4" s="10" t="n">
        <v>42.6</v>
      </c>
      <c r="E4" s="10" t="n">
        <v>32.2</v>
      </c>
      <c r="F4" s="10" t="n">
        <v>21.2</v>
      </c>
      <c r="G4" s="10" t="n">
        <v>11.1</v>
      </c>
      <c r="H4" s="10" t="n">
        <v>36.7</v>
      </c>
      <c r="I4" s="2" t="s">
        <v>89</v>
      </c>
      <c r="J4" s="2" t="s">
        <v>90</v>
      </c>
    </row>
    <row r="5" customFormat="false" ht="15" hidden="false" customHeight="false" outlineLevel="0" collapsed="false">
      <c r="A5" s="3" t="s">
        <v>50</v>
      </c>
      <c r="B5" s="10" t="n">
        <v>96.3</v>
      </c>
      <c r="C5" s="10" t="n">
        <v>94</v>
      </c>
      <c r="D5" s="10" t="n">
        <v>91.6</v>
      </c>
      <c r="E5" s="10" t="n">
        <v>84.9</v>
      </c>
      <c r="F5" s="10" t="n">
        <v>72.6</v>
      </c>
      <c r="G5" s="10" t="n">
        <v>48.5</v>
      </c>
      <c r="H5" s="10" t="n">
        <v>81.5</v>
      </c>
      <c r="I5" s="2" t="s">
        <v>89</v>
      </c>
      <c r="J5" s="2" t="s">
        <v>90</v>
      </c>
    </row>
    <row r="6" customFormat="false" ht="15" hidden="false" customHeight="false" outlineLevel="0" collapsed="false">
      <c r="A6" s="3" t="s">
        <v>56</v>
      </c>
      <c r="B6" s="10" t="n">
        <v>23.4</v>
      </c>
      <c r="C6" s="10" t="n">
        <v>37.4</v>
      </c>
      <c r="D6" s="10" t="n">
        <v>38.9</v>
      </c>
      <c r="E6" s="10" t="n">
        <v>33.1</v>
      </c>
      <c r="F6" s="10" t="n">
        <v>22.6</v>
      </c>
      <c r="G6" s="10" t="n">
        <v>12.5</v>
      </c>
      <c r="H6" s="10" t="n">
        <v>27</v>
      </c>
      <c r="I6" s="2" t="s">
        <v>89</v>
      </c>
      <c r="J6" s="2" t="s">
        <v>90</v>
      </c>
    </row>
    <row r="7" customFormat="false" ht="15" hidden="false" customHeight="false" outlineLevel="0" collapsed="false">
      <c r="A7" s="3" t="s">
        <v>91</v>
      </c>
      <c r="B7" s="10" t="n">
        <v>73.4</v>
      </c>
      <c r="C7" s="10" t="n">
        <v>67.7</v>
      </c>
      <c r="D7" s="10" t="n">
        <v>57</v>
      </c>
      <c r="E7" s="10" t="n">
        <v>40.2</v>
      </c>
      <c r="F7" s="10" t="n">
        <v>24.8</v>
      </c>
      <c r="G7" s="10" t="n">
        <v>10.8</v>
      </c>
      <c r="H7" s="10" t="n">
        <v>44.7</v>
      </c>
      <c r="I7" s="2" t="s">
        <v>89</v>
      </c>
      <c r="J7" s="2" t="s">
        <v>90</v>
      </c>
    </row>
    <row r="8" customFormat="false" ht="15" hidden="false" customHeight="false" outlineLevel="0" collapsed="false">
      <c r="A8" s="2" t="s">
        <v>65</v>
      </c>
      <c r="B8" s="10" t="n">
        <v>1.6</v>
      </c>
      <c r="C8" s="10" t="n">
        <v>3</v>
      </c>
      <c r="D8" s="10" t="n">
        <v>10.7</v>
      </c>
      <c r="E8" s="10" t="n">
        <v>25.4</v>
      </c>
      <c r="F8" s="10" t="n">
        <v>38.9</v>
      </c>
      <c r="G8" s="10" t="n">
        <v>49.5</v>
      </c>
      <c r="H8" s="10" t="n">
        <v>21.3</v>
      </c>
      <c r="I8" s="2" t="s">
        <v>92</v>
      </c>
      <c r="J8" s="2" t="s">
        <v>90</v>
      </c>
    </row>
    <row r="9" customFormat="false" ht="15" hidden="false" customHeight="false" outlineLevel="0" collapsed="false">
      <c r="A9" s="2" t="s">
        <v>93</v>
      </c>
      <c r="B9" s="10" t="n">
        <v>42.7</v>
      </c>
      <c r="C9" s="10" t="n">
        <v>54.9</v>
      </c>
      <c r="D9" s="10" t="n">
        <v>70</v>
      </c>
      <c r="E9" s="10" t="n">
        <v>81.8</v>
      </c>
      <c r="F9" s="10" t="n">
        <v>88.1</v>
      </c>
      <c r="G9" s="10" t="n">
        <v>91.9</v>
      </c>
      <c r="H9" s="10" t="n">
        <v>71.3</v>
      </c>
      <c r="I9" s="2" t="s">
        <v>92</v>
      </c>
      <c r="J9" s="2" t="s">
        <v>90</v>
      </c>
    </row>
    <row r="11" customFormat="false" ht="15" hidden="false" customHeight="false" outlineLevel="0" collapsed="false">
      <c r="A11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9" min="3" style="0" width="8"/>
  </cols>
  <sheetData>
    <row r="1" customFormat="false" ht="15" hidden="false" customHeight="false" outlineLevel="0" collapsed="false">
      <c r="A1" s="13" t="s">
        <v>95</v>
      </c>
      <c r="B1" s="5" t="s">
        <v>96</v>
      </c>
      <c r="C1" s="13" t="s">
        <v>80</v>
      </c>
      <c r="D1" s="13" t="s">
        <v>81</v>
      </c>
      <c r="E1" s="13" t="s">
        <v>82</v>
      </c>
      <c r="F1" s="13" t="s">
        <v>83</v>
      </c>
      <c r="G1" s="13" t="s">
        <v>84</v>
      </c>
      <c r="H1" s="13" t="s">
        <v>85</v>
      </c>
      <c r="I1" s="9" t="s">
        <v>32</v>
      </c>
    </row>
    <row r="2" customFormat="false" ht="15" hidden="false" customHeight="false" outlineLevel="0" collapsed="false">
      <c r="A2" s="3" t="s">
        <v>97</v>
      </c>
      <c r="B2" s="2" t="s">
        <v>98</v>
      </c>
      <c r="C2" s="14" t="n">
        <v>0.4</v>
      </c>
      <c r="D2" s="14" t="n">
        <v>0.6</v>
      </c>
      <c r="E2" s="14" t="n">
        <v>0</v>
      </c>
      <c r="F2" s="14" t="n">
        <v>0</v>
      </c>
      <c r="G2" s="14" t="n">
        <v>0</v>
      </c>
      <c r="H2" s="14" t="n">
        <v>0</v>
      </c>
      <c r="I2" s="8" t="n">
        <f aca="false">SUM(C2:H2)</f>
        <v>1</v>
      </c>
    </row>
    <row r="3" customFormat="false" ht="15" hidden="false" customHeight="false" outlineLevel="0" collapsed="false">
      <c r="A3" s="3" t="s">
        <v>99</v>
      </c>
      <c r="B3" s="2" t="s">
        <v>100</v>
      </c>
      <c r="C3" s="14" t="n">
        <v>0</v>
      </c>
      <c r="D3" s="14" t="n">
        <v>0.5</v>
      </c>
      <c r="E3" s="14" t="n">
        <v>0.5</v>
      </c>
      <c r="F3" s="14" t="n">
        <v>0</v>
      </c>
      <c r="G3" s="14" t="n">
        <v>0</v>
      </c>
      <c r="H3" s="14" t="n">
        <v>0</v>
      </c>
      <c r="I3" s="8" t="n">
        <f aca="false">SUM(C3:H3)</f>
        <v>1</v>
      </c>
    </row>
    <row r="4" customFormat="false" ht="15" hidden="false" customHeight="false" outlineLevel="0" collapsed="false">
      <c r="A4" s="3" t="s">
        <v>101</v>
      </c>
      <c r="B4" s="3" t="s">
        <v>102</v>
      </c>
      <c r="C4" s="14" t="n">
        <v>0</v>
      </c>
      <c r="D4" s="14" t="n">
        <v>0</v>
      </c>
      <c r="E4" s="14" t="n">
        <v>0</v>
      </c>
      <c r="F4" s="14" t="n">
        <v>1</v>
      </c>
      <c r="G4" s="14" t="n">
        <v>0</v>
      </c>
      <c r="H4" s="14" t="n">
        <v>0</v>
      </c>
      <c r="I4" s="8" t="n">
        <f aca="false">SUM(C4:H4)</f>
        <v>1</v>
      </c>
    </row>
    <row r="5" customFormat="false" ht="15" hidden="false" customHeight="false" outlineLevel="0" collapsed="false">
      <c r="A5" s="3" t="s">
        <v>103</v>
      </c>
      <c r="B5" s="3" t="s">
        <v>104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0.7</v>
      </c>
      <c r="H5" s="14" t="n">
        <v>0.3</v>
      </c>
      <c r="I5" s="8" t="n">
        <f aca="false">SUM(C5:H5)</f>
        <v>1</v>
      </c>
    </row>
    <row r="6" customFormat="false" ht="15" hidden="false" customHeight="false" outlineLevel="0" collapsed="false">
      <c r="A6" s="3" t="s">
        <v>105</v>
      </c>
      <c r="B6" s="2" t="s">
        <v>106</v>
      </c>
      <c r="C6" s="14" t="n">
        <v>0.3</v>
      </c>
      <c r="D6" s="14" t="n">
        <v>0.4</v>
      </c>
      <c r="E6" s="14" t="n">
        <v>0.3</v>
      </c>
      <c r="F6" s="14" t="n">
        <v>0</v>
      </c>
      <c r="G6" s="14" t="n">
        <v>0</v>
      </c>
      <c r="H6" s="14" t="n">
        <v>0</v>
      </c>
      <c r="I6" s="8" t="n">
        <f aca="false">SUM(C6:H6)</f>
        <v>1</v>
      </c>
    </row>
    <row r="7" customFormat="false" ht="15" hidden="false" customHeight="false" outlineLevel="0" collapsed="false">
      <c r="A7" s="3" t="s">
        <v>107</v>
      </c>
      <c r="B7" s="2" t="s">
        <v>108</v>
      </c>
      <c r="C7" s="14" t="n">
        <v>0</v>
      </c>
      <c r="D7" s="14" t="n">
        <v>0.3</v>
      </c>
      <c r="E7" s="14" t="n">
        <v>0.4</v>
      </c>
      <c r="F7" s="14" t="n">
        <v>0.3</v>
      </c>
      <c r="G7" s="14" t="n">
        <v>0</v>
      </c>
      <c r="H7" s="14" t="n">
        <v>0</v>
      </c>
      <c r="I7" s="8" t="n">
        <f aca="false">SUM(C7:H7)</f>
        <v>1</v>
      </c>
    </row>
    <row r="9" customFormat="false" ht="15" hidden="false" customHeight="false" outlineLevel="0" collapsed="false">
      <c r="A9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28.35" hidden="false" customHeight="false" outlineLevel="0" collapsed="false">
      <c r="A1" s="5" t="s">
        <v>110</v>
      </c>
      <c r="B1" s="5" t="s">
        <v>19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</row>
    <row r="2" customFormat="false" ht="15" hidden="false" customHeight="false" outlineLevel="0" collapsed="false">
      <c r="A2" s="15" t="s">
        <v>117</v>
      </c>
      <c r="B2" s="16" t="s">
        <v>118</v>
      </c>
      <c r="C2" s="16" t="s">
        <v>119</v>
      </c>
      <c r="D2" s="15" t="n">
        <v>50000</v>
      </c>
      <c r="E2" s="15" t="n">
        <v>6</v>
      </c>
      <c r="F2" s="15" t="n">
        <v>2</v>
      </c>
      <c r="G2" s="15" t="n">
        <v>1</v>
      </c>
      <c r="H2" s="15" t="s">
        <v>120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</row>
  </sheetData>
  <dataValidations count="1">
    <dataValidation allowBlank="true" errorStyle="stop" operator="between" showDropDown="false" showErrorMessage="false" showInputMessage="false" sqref="B3:B202" type="list">
      <formula1>媒体!$A$2:$A$12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41.75" hidden="false" customHeight="false" outlineLevel="0" collapsed="false">
      <c r="A1" s="5" t="s">
        <v>19</v>
      </c>
      <c r="B1" s="9" t="s">
        <v>121</v>
      </c>
      <c r="C1" s="9" t="s">
        <v>122</v>
      </c>
      <c r="D1" s="9" t="s">
        <v>123</v>
      </c>
      <c r="E1" s="9" t="s">
        <v>124</v>
      </c>
      <c r="F1" s="9" t="s">
        <v>125</v>
      </c>
      <c r="G1" s="9" t="s">
        <v>126</v>
      </c>
      <c r="I1" s="1" t="s">
        <v>127</v>
      </c>
      <c r="K1" s="4" t="n">
        <v>10</v>
      </c>
    </row>
    <row r="2" customFormat="false" ht="15" hidden="false" customHeight="false" outlineLevel="0" collapsed="false">
      <c r="A2" s="2" t="str">
        <f aca="false">媒体!A2</f>
        <v>Instagram広告</v>
      </c>
      <c r="B2" s="17" t="n">
        <f aca="false">SUMIF(反響の記録!$B$3:$B$202,$A2,反響の記録!$D$3:$D$202)</f>
        <v>0</v>
      </c>
      <c r="C2" s="17" t="n">
        <f aca="false">SUMIF(反響の記録!$B$3:$B$202,$A2,反響の記録!$E$3:$E$202)</f>
        <v>0</v>
      </c>
      <c r="D2" s="17" t="n">
        <f aca="false">SUMIF(反響の記録!$B$3:$B$202,$A2,反響の記録!$F$3:$F$202)</f>
        <v>0</v>
      </c>
      <c r="E2" s="17" t="n">
        <f aca="false">SUMIF(反響の記録!$B$3:$B$202,$A2,反響の記録!$G$3:$G$202)</f>
        <v>0</v>
      </c>
      <c r="F2" s="17" t="str">
        <f aca="false">IF(C2=0,"",B2/C2)</f>
        <v/>
      </c>
      <c r="G2" s="11" t="n">
        <f aca="false">IF(OR(C2&lt;$K$1,F2="",F2=0),1,ROUND(MIN(2,MAX(0.5,(SUM($B$2:$B$12)/SUM($C$2:$C$12))/F2)),2))</f>
        <v>1</v>
      </c>
    </row>
    <row r="3" customFormat="false" ht="15" hidden="false" customHeight="false" outlineLevel="0" collapsed="false">
      <c r="A3" s="2" t="str">
        <f aca="false">媒体!A3</f>
        <v>TikTok広告</v>
      </c>
      <c r="B3" s="17" t="n">
        <f aca="false">SUMIF(反響の記録!$B$3:$B$202,$A3,反響の記録!$D$3:$D$202)</f>
        <v>0</v>
      </c>
      <c r="C3" s="17" t="n">
        <f aca="false">SUMIF(反響の記録!$B$3:$B$202,$A3,反響の記録!$E$3:$E$202)</f>
        <v>0</v>
      </c>
      <c r="D3" s="17" t="n">
        <f aca="false">SUMIF(反響の記録!$B$3:$B$202,$A3,反響の記録!$F$3:$F$202)</f>
        <v>0</v>
      </c>
      <c r="E3" s="17" t="n">
        <f aca="false">SUMIF(反響の記録!$B$3:$B$202,$A3,反響の記録!$G$3:$G$202)</f>
        <v>0</v>
      </c>
      <c r="F3" s="17" t="str">
        <f aca="false">IF(C3=0,"",B3/C3)</f>
        <v/>
      </c>
      <c r="G3" s="11" t="n">
        <f aca="false">IF(OR(C3&lt;$K$1,F3="",F3=0),1,ROUND(MIN(2,MAX(0.5,(SUM($B$2:$B$12)/SUM($C$2:$C$12))/F3)),2))</f>
        <v>1</v>
      </c>
    </row>
    <row r="4" customFormat="false" ht="15" hidden="false" customHeight="false" outlineLevel="0" collapsed="false">
      <c r="A4" s="2" t="str">
        <f aca="false">媒体!A4</f>
        <v>YouTube広告</v>
      </c>
      <c r="B4" s="17" t="n">
        <f aca="false">SUMIF(反響の記録!$B$3:$B$202,$A4,反響の記録!$D$3:$D$202)</f>
        <v>0</v>
      </c>
      <c r="C4" s="17" t="n">
        <f aca="false">SUMIF(反響の記録!$B$3:$B$202,$A4,反響の記録!$E$3:$E$202)</f>
        <v>0</v>
      </c>
      <c r="D4" s="17" t="n">
        <f aca="false">SUMIF(反響の記録!$B$3:$B$202,$A4,反響の記録!$F$3:$F$202)</f>
        <v>0</v>
      </c>
      <c r="E4" s="17" t="n">
        <f aca="false">SUMIF(反響の記録!$B$3:$B$202,$A4,反響の記録!$G$3:$G$202)</f>
        <v>0</v>
      </c>
      <c r="F4" s="17" t="str">
        <f aca="false">IF(C4=0,"",B4/C4)</f>
        <v/>
      </c>
      <c r="G4" s="11" t="n">
        <f aca="false">IF(OR(C4&lt;$K$1,F4="",F4=0),1,ROUND(MIN(2,MAX(0.5,(SUM($B$2:$B$12)/SUM($C$2:$C$12))/F4)),2))</f>
        <v>1</v>
      </c>
    </row>
    <row r="5" customFormat="false" ht="15" hidden="false" customHeight="false" outlineLevel="0" collapsed="false">
      <c r="A5" s="2" t="str">
        <f aca="false">媒体!A5</f>
        <v>LINE広告</v>
      </c>
      <c r="B5" s="17" t="n">
        <f aca="false">SUMIF(反響の記録!$B$3:$B$202,$A5,反響の記録!$D$3:$D$202)</f>
        <v>0</v>
      </c>
      <c r="C5" s="17" t="n">
        <f aca="false">SUMIF(反響の記録!$B$3:$B$202,$A5,反響の記録!$E$3:$E$202)</f>
        <v>0</v>
      </c>
      <c r="D5" s="17" t="n">
        <f aca="false">SUMIF(反響の記録!$B$3:$B$202,$A5,反響の記録!$F$3:$F$202)</f>
        <v>0</v>
      </c>
      <c r="E5" s="17" t="n">
        <f aca="false">SUMIF(反響の記録!$B$3:$B$202,$A5,反響の記録!$G$3:$G$202)</f>
        <v>0</v>
      </c>
      <c r="F5" s="17" t="str">
        <f aca="false">IF(C5=0,"",B5/C5)</f>
        <v/>
      </c>
      <c r="G5" s="11" t="n">
        <f aca="false">IF(OR(C5&lt;$K$1,F5="",F5=0),1,ROUND(MIN(2,MAX(0.5,(SUM($B$2:$B$12)/SUM($C$2:$C$12))/F5)),2))</f>
        <v>1</v>
      </c>
    </row>
    <row r="6" customFormat="false" ht="15" hidden="false" customHeight="false" outlineLevel="0" collapsed="false">
      <c r="A6" s="2" t="str">
        <f aca="false">媒体!A6</f>
        <v>Facebook広告</v>
      </c>
      <c r="B6" s="17" t="n">
        <f aca="false">SUMIF(反響の記録!$B$3:$B$202,$A6,反響の記録!$D$3:$D$202)</f>
        <v>0</v>
      </c>
      <c r="C6" s="17" t="n">
        <f aca="false">SUMIF(反響の記録!$B$3:$B$202,$A6,反響の記録!$E$3:$E$202)</f>
        <v>0</v>
      </c>
      <c r="D6" s="17" t="n">
        <f aca="false">SUMIF(反響の記録!$B$3:$B$202,$A6,反響の記録!$F$3:$F$202)</f>
        <v>0</v>
      </c>
      <c r="E6" s="17" t="n">
        <f aca="false">SUMIF(反響の記録!$B$3:$B$202,$A6,反響の記録!$G$3:$G$202)</f>
        <v>0</v>
      </c>
      <c r="F6" s="17" t="str">
        <f aca="false">IF(C6=0,"",B6/C6)</f>
        <v/>
      </c>
      <c r="G6" s="11" t="n">
        <f aca="false">IF(OR(C6&lt;$K$1,F6="",F6=0),1,ROUND(MIN(2,MAX(0.5,(SUM($B$2:$B$12)/SUM($C$2:$C$12))/F6)),2))</f>
        <v>1</v>
      </c>
    </row>
    <row r="7" customFormat="false" ht="15" hidden="false" customHeight="false" outlineLevel="0" collapsed="false">
      <c r="A7" s="2" t="str">
        <f aca="false">媒体!A7</f>
        <v>ポータル掲載</v>
      </c>
      <c r="B7" s="17" t="n">
        <f aca="false">SUMIF(反響の記録!$B$3:$B$202,$A7,反響の記録!$D$3:$D$202)</f>
        <v>0</v>
      </c>
      <c r="C7" s="17" t="n">
        <f aca="false">SUMIF(反響の記録!$B$3:$B$202,$A7,反響の記録!$E$3:$E$202)</f>
        <v>0</v>
      </c>
      <c r="D7" s="17" t="n">
        <f aca="false">SUMIF(反響の記録!$B$3:$B$202,$A7,反響の記録!$F$3:$F$202)</f>
        <v>0</v>
      </c>
      <c r="E7" s="17" t="n">
        <f aca="false">SUMIF(反響の記録!$B$3:$B$202,$A7,反響の記録!$G$3:$G$202)</f>
        <v>0</v>
      </c>
      <c r="F7" s="17" t="str">
        <f aca="false">IF(C7=0,"",B7/C7)</f>
        <v/>
      </c>
      <c r="G7" s="11" t="n">
        <f aca="false">IF(OR(C7&lt;$K$1,F7="",F7=0),1,ROUND(MIN(2,MAX(0.5,(SUM($B$2:$B$12)/SUM($C$2:$C$12))/F7)),2))</f>
        <v>1</v>
      </c>
    </row>
    <row r="8" customFormat="false" ht="15" hidden="false" customHeight="false" outlineLevel="0" collapsed="false">
      <c r="A8" s="2" t="str">
        <f aca="false">媒体!A8</f>
        <v>Google検索広告</v>
      </c>
      <c r="B8" s="17" t="n">
        <f aca="false">SUMIF(反響の記録!$B$3:$B$202,$A8,反響の記録!$D$3:$D$202)</f>
        <v>0</v>
      </c>
      <c r="C8" s="17" t="n">
        <f aca="false">SUMIF(反響の記録!$B$3:$B$202,$A8,反響の記録!$E$3:$E$202)</f>
        <v>0</v>
      </c>
      <c r="D8" s="17" t="n">
        <f aca="false">SUMIF(反響の記録!$B$3:$B$202,$A8,反響の記録!$F$3:$F$202)</f>
        <v>0</v>
      </c>
      <c r="E8" s="17" t="n">
        <f aca="false">SUMIF(反響の記録!$B$3:$B$202,$A8,反響の記録!$G$3:$G$202)</f>
        <v>0</v>
      </c>
      <c r="F8" s="17" t="str">
        <f aca="false">IF(C8=0,"",B8/C8)</f>
        <v/>
      </c>
      <c r="G8" s="11" t="n">
        <f aca="false">IF(OR(C8&lt;$K$1,F8="",F8=0),1,ROUND(MIN(2,MAX(0.5,(SUM($B$2:$B$12)/SUM($C$2:$C$12))/F8)),2))</f>
        <v>1</v>
      </c>
    </row>
    <row r="9" customFormat="false" ht="15" hidden="false" customHeight="false" outlineLevel="0" collapsed="false">
      <c r="A9" s="2" t="str">
        <f aca="false">媒体!A9</f>
        <v>新聞折込</v>
      </c>
      <c r="B9" s="17" t="n">
        <f aca="false">SUMIF(反響の記録!$B$3:$B$202,$A9,反響の記録!$D$3:$D$202)</f>
        <v>0</v>
      </c>
      <c r="C9" s="17" t="n">
        <f aca="false">SUMIF(反響の記録!$B$3:$B$202,$A9,反響の記録!$E$3:$E$202)</f>
        <v>0</v>
      </c>
      <c r="D9" s="17" t="n">
        <f aca="false">SUMIF(反響の記録!$B$3:$B$202,$A9,反響の記録!$F$3:$F$202)</f>
        <v>0</v>
      </c>
      <c r="E9" s="17" t="n">
        <f aca="false">SUMIF(反響の記録!$B$3:$B$202,$A9,反響の記録!$G$3:$G$202)</f>
        <v>0</v>
      </c>
      <c r="F9" s="17" t="str">
        <f aca="false">IF(C9=0,"",B9/C9)</f>
        <v/>
      </c>
      <c r="G9" s="11" t="n">
        <f aca="false">IF(OR(C9&lt;$K$1,F9="",F9=0),1,ROUND(MIN(2,MAX(0.5,(SUM($B$2:$B$12)/SUM($C$2:$C$12))/F9)),2))</f>
        <v>1</v>
      </c>
    </row>
    <row r="10" customFormat="false" ht="15" hidden="false" customHeight="false" outlineLevel="0" collapsed="false">
      <c r="A10" s="2" t="str">
        <f aca="false">媒体!A10</f>
        <v>ポスティング</v>
      </c>
      <c r="B10" s="17" t="n">
        <f aca="false">SUMIF(反響の記録!$B$3:$B$202,$A10,反響の記録!$D$3:$D$202)</f>
        <v>0</v>
      </c>
      <c r="C10" s="17" t="n">
        <f aca="false">SUMIF(反響の記録!$B$3:$B$202,$A10,反響の記録!$E$3:$E$202)</f>
        <v>0</v>
      </c>
      <c r="D10" s="17" t="n">
        <f aca="false">SUMIF(反響の記録!$B$3:$B$202,$A10,反響の記録!$F$3:$F$202)</f>
        <v>0</v>
      </c>
      <c r="E10" s="17" t="n">
        <f aca="false">SUMIF(反響の記録!$B$3:$B$202,$A10,反響の記録!$G$3:$G$202)</f>
        <v>0</v>
      </c>
      <c r="F10" s="17" t="str">
        <f aca="false">IF(C10=0,"",B10/C10)</f>
        <v/>
      </c>
      <c r="G10" s="11" t="n">
        <f aca="false">IF(OR(C10&lt;$K$1,F10="",F10=0),1,ROUND(MIN(2,MAX(0.5,(SUM($B$2:$B$12)/SUM($C$2:$C$12))/F10)),2))</f>
        <v>1</v>
      </c>
    </row>
    <row r="11" customFormat="false" ht="15" hidden="false" customHeight="false" outlineLevel="0" collapsed="false">
      <c r="A11" s="2" t="str">
        <f aca="false">媒体!A11</f>
        <v>現地看板・見学会</v>
      </c>
      <c r="B11" s="17" t="n">
        <f aca="false">SUMIF(反響の記録!$B$3:$B$202,$A11,反響の記録!$D$3:$D$202)</f>
        <v>0</v>
      </c>
      <c r="C11" s="17" t="n">
        <f aca="false">SUMIF(反響の記録!$B$3:$B$202,$A11,反響の記録!$E$3:$E$202)</f>
        <v>0</v>
      </c>
      <c r="D11" s="17" t="n">
        <f aca="false">SUMIF(反響の記録!$B$3:$B$202,$A11,反響の記録!$F$3:$F$202)</f>
        <v>0</v>
      </c>
      <c r="E11" s="17" t="n">
        <f aca="false">SUMIF(反響の記録!$B$3:$B$202,$A11,反響の記録!$G$3:$G$202)</f>
        <v>0</v>
      </c>
      <c r="F11" s="17" t="str">
        <f aca="false">IF(C11=0,"",B11/C11)</f>
        <v/>
      </c>
      <c r="G11" s="11" t="n">
        <f aca="false">IF(OR(C11&lt;$K$1,F11="",F11=0),1,ROUND(MIN(2,MAX(0.5,(SUM($B$2:$B$12)/SUM($C$2:$C$12))/F11)),2))</f>
        <v>1</v>
      </c>
    </row>
    <row r="12" customFormat="false" ht="15" hidden="false" customHeight="false" outlineLevel="0" collapsed="false">
      <c r="A12" s="2" t="str">
        <f aca="false">媒体!A12</f>
        <v>店頭・紹介</v>
      </c>
      <c r="B12" s="17" t="n">
        <f aca="false">SUMIF(反響の記録!$B$3:$B$202,$A12,反響の記録!$D$3:$D$202)</f>
        <v>0</v>
      </c>
      <c r="C12" s="17" t="n">
        <f aca="false">SUMIF(反響の記録!$B$3:$B$202,$A12,反響の記録!$E$3:$E$202)</f>
        <v>0</v>
      </c>
      <c r="D12" s="17" t="n">
        <f aca="false">SUMIF(反響の記録!$B$3:$B$202,$A12,反響の記録!$F$3:$F$202)</f>
        <v>0</v>
      </c>
      <c r="E12" s="17" t="n">
        <f aca="false">SUMIF(反響の記録!$B$3:$B$202,$A12,反響の記録!$G$3:$G$202)</f>
        <v>0</v>
      </c>
      <c r="F12" s="17" t="str">
        <f aca="false">IF(C12=0,"",B12/C12)</f>
        <v/>
      </c>
      <c r="G12" s="11" t="n">
        <f aca="false">IF(OR(C12&lt;$K$1,F12="",F12=0),1,ROUND(MIN(2,MAX(0.5,(SUM($B$2:$B$12)/SUM($C$2:$C$12))/F12)),2))</f>
        <v>1</v>
      </c>
    </row>
    <row r="14" customFormat="false" ht="15" hidden="false" customHeight="false" outlineLevel="0" collapsed="false">
      <c r="A14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2026-10-10T14:07:33Z</dcterms:created>
  <dc:creator>openpyxl</dc:creator>
  <dc:description/>
  <dc:language>en-US</dc:language>
  <cp:lastModifiedBy/>
  <dcterms:modified xsi:type="dcterms:W3CDTF">2026-10-10T14:07:33Z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